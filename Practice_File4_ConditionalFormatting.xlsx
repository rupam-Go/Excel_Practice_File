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8_{3001048A-B19A-415C-AA22-0D59A42CAF78}" xr6:coauthVersionLast="47" xr6:coauthVersionMax="47" xr10:uidLastSave="{00000000-0000-0000-0000-000000000000}"/>
  <bookViews>
    <workbookView xWindow="-108" yWindow="-108" windowWidth="23256" windowHeight="12456" xr2:uid="{09ED46DE-924B-4F87-A435-105EA3E3F249}"/>
  </bookViews>
  <sheets>
    <sheet name="Coditional_Formatting " sheetId="4" r:id="rId1"/>
    <sheet name="Sorting_Sheet " sheetId="5" r:id="rId2"/>
    <sheet name="Filtering_Sheet" sheetId="6" r:id="rId3"/>
  </sheets>
  <definedNames>
    <definedName name="_xlnm._FilterDatabase" localSheetId="1" hidden="1">'Sorting_Sheet '!$A$74:$L$74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 a="1"/>
  <c r="P2" i="6"/>
  <c r="A75" i="5" a="1"/>
  <c r="A7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<sst xmlns="http://schemas.openxmlformats.org/spreadsheetml/2006/main" count="1953" uniqueCount="258">
  <si>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</si>
  <si>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</si>
  <si>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</si>
  <si>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</si>
  <si>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</si>
  <si>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</si>
  <si>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</si>
  <si>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</si>
  <si>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</si>
  <si>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</si>
  <si>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</si>
  <si>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</si>
  <si>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</si>
  <si>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</si>
  <si>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</si>
  <si>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</si>
  <si>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</si>
  <si>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</si>
  <si>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</si>
  <si>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</si>
  <si>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</si>
  <si>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</si>
  <si>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</si>
  <si>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</si>
  <si>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</si>
  <si>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</si>
  <si>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</si>
  <si>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</si>
  <si>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</si>
  <si>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</si>
  <si>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</si>
  <si>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</si>
  <si>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</si>
  <si>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</si>
  <si>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</si>
  <si>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</si>
  <si>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</si>
  <si>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</si>
  <si>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</si>
  <si>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</si>
  <si>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</si>
  <si>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</si>
  <si>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</si>
  <si>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</si>
  <si>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</si>
  <si>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</si>
  <si>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</si>
  <si>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</si>
  <si>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</si>
  <si>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</si>
  <si>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</si>
  <si>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</si>
  <si>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</si>
  <si>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</si>
  <si>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</si>
  <si>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</si>
  <si>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</si>
  <si>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</si>
  <si>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</si>
  <si>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</si>
  <si>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</si>
  <si>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</si>
  <si>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</si>
  <si>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</si>
  <si>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</si>
  <si>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</si>
  <si>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</si>
  <si>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</si>
  <si>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</si>
  <si>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</si>
  <si>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</si>
  <si>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</si>
  <si>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</si>
  <si>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</si>
  <si>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</si>
  <si>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</si>
  <si>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</si>
  <si>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</si>
  <si>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</si>
  <si>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</si>
  <si>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</si>
  <si>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</si>
  <si>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</si>
  <si>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</si>
  <si>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</si>
  <si>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</si>
  <si>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</si>
  <si>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</si>
  <si>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</si>
  <si>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</si>
  <si>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</si>
  <si>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</si>
  <si>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</si>
  <si>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</si>
  <si>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</si>
  <si>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</si>
  <si>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</si>
  <si>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</si>
  <si>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</si>
  <si>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</si>
  <si>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</si>
  <si>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</si>
  <si>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</si>
  <si>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</si>
  <si>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</si>
  <si>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</si>
  <si>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</si>
  <si>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</si>
  <si>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</si>
  <si>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</si>
  <si>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</si>
  <si>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</si>
  <si>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</si>
  <si>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</si>
  <si>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</si>
  <si>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</si>
  <si>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</si>
  <si>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</si>
  <si>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</si>
  <si>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</si>
  <si>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</si>
  <si>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</si>
  <si>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</si>
  <si>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</si>
  <si>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</si>
  <si>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</si>
  <si>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</si>
  <si>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</si>
  <si>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</si>
  <si>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</si>
  <si>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</si>
  <si>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</si>
  <si>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</si>
  <si>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</si>
  <si>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</si>
  <si>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</si>
  <si>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</si>
  <si>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</si>
  <si>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</si>
  <si>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</si>
  <si>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</si>
  <si>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</si>
  <si>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</si>
  <si>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</si>
  <si>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</si>
  <si>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</si>
  <si>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</si>
  <si>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</si>
  <si>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</si>
  <si>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</si>
  <si>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</si>
  <si>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</si>
  <si>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</si>
  <si>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</si>
  <si>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</si>
  <si>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</si>
  <si>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</si>
  <si>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</si>
  <si>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</si>
  <si>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</si>
  <si>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</si>
  <si>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</si>
  <si>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</si>
  <si>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</si>
  <si>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</si>
  <si>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</si>
  <si>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</si>
  <si>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</si>
  <si>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</si>
  <si>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</si>
  <si>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</si>
  <si>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</si>
  <si>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</si>
  <si>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</si>
  <si>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</si>
  <si>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</si>
  <si>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</si>
  <si>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</si>
  <si>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</si>
  <si>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</si>
  <si>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</si>
  <si>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</si>
  <si>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</si>
  <si>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</si>
  <si>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</si>
  <si>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</si>
  <si>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</si>
  <si>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</si>
  <si>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</si>
  <si>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</si>
  <si>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</si>
  <si>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</si>
  <si>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</si>
  <si>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</si>
  <si>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</si>
  <si>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</si>
  <si>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</si>
  <si>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</si>
  <si>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</si>
  <si>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</si>
  <si>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</si>
  <si>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</si>
  <si>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</si>
  <si>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</si>
  <si>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</si>
  <si>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</si>
  <si>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</si>
  <si>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</si>
  <si>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</si>
  <si>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</si>
  <si>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</si>
  <si>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</si>
  <si>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</si>
  <si>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</si>
  <si>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</si>
  <si>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</si>
  <si>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</si>
  <si>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</si>
  <si>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</si>
  <si>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</si>
  <si>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</si>
  <si>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</si>
  <si>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</si>
  <si>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</si>
  <si>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</si>
  <si>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</si>
  <si>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</si>
  <si>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</si>
  <si>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</si>
  <si>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</si>
  <si>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</si>
  <si>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</si>
  <si>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</si>
  <si>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</si>
  <si>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</si>
  <si>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</si>
  <si>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</si>
  <si>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</si>
  <si>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</si>
  <si>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</si>
  <si>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</si>
  <si>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</si>
  <si>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</si>
  <si>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</si>
  <si>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</si>
  <si>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</si>
  <si>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</si>
  <si>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</si>
  <si>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</si>
  <si>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</si>
  <si>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</si>
  <si>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</si>
  <si>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</si>
  <si>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</si>
  <si>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</si>
  <si>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</si>
  <si>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</si>
  <si>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Sorting the dataset Using sorting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</si>
</sst>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272760"/>
        <bgColor rgb="FF000000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0" fillId="4" borderId="2" xfId="0" applyFill="1" applyBorder="1"/>
    <xf numFmtId="0" fontId="4" fillId="0" borderId="2" xfId="0" applyFont="1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C1D8-BBE1-4C64-99E1-4771740EE40F}">
  <dimension ref="A1:L145"/>
  <sheetViews>
    <sheetView tabSelected="1" topLeftCell="B1" workbookViewId="0">
      <selection activeCell="N25" sqref="N25"/>
    </sheetView>
  </sheetViews>
  <sheetFormatPr defaultRowHeight="15"/>
  <cols>
    <col min="1" max="12" width="25.28515625" customWidth="1"/>
  </cols>
  <sheetData>
    <row r="1" spans="1:12" ht="21" customHeight="1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4" t="s">
        <v>14</v>
      </c>
      <c r="D2" s="7">
        <v>8</v>
      </c>
      <c r="E2" s="3">
        <v>45292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14</v>
      </c>
      <c r="L2" s="2" t="s">
        <v>20</v>
      </c>
    </row>
    <row r="3" spans="1:12">
      <c r="A3" s="2" t="s">
        <v>21</v>
      </c>
      <c r="B3" s="2" t="s">
        <v>22</v>
      </c>
      <c r="C3" s="4" t="s">
        <v>23</v>
      </c>
      <c r="D3" s="7">
        <v>5</v>
      </c>
      <c r="E3" s="3">
        <v>45292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>
        <v>32</v>
      </c>
      <c r="L3" s="2" t="s">
        <v>27</v>
      </c>
    </row>
    <row r="4" spans="1:12">
      <c r="A4" s="2" t="s">
        <v>28</v>
      </c>
      <c r="B4" s="2" t="s">
        <v>29</v>
      </c>
      <c r="C4" s="4" t="s">
        <v>23</v>
      </c>
      <c r="D4" s="7">
        <v>3</v>
      </c>
      <c r="E4" s="3">
        <v>45293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19</v>
      </c>
      <c r="K4" s="2">
        <v>6</v>
      </c>
      <c r="L4" s="2" t="s">
        <v>32</v>
      </c>
    </row>
    <row r="5" spans="1:12">
      <c r="A5" s="2" t="s">
        <v>33</v>
      </c>
      <c r="B5" s="2" t="s">
        <v>34</v>
      </c>
      <c r="C5" s="5" t="s">
        <v>35</v>
      </c>
      <c r="D5" s="7">
        <v>4</v>
      </c>
      <c r="E5" s="3">
        <v>45293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>
        <v>26</v>
      </c>
      <c r="L5" s="2" t="s">
        <v>27</v>
      </c>
    </row>
    <row r="6" spans="1:12">
      <c r="A6" s="2" t="s">
        <v>40</v>
      </c>
      <c r="B6" s="2" t="s">
        <v>41</v>
      </c>
      <c r="C6" s="4" t="s">
        <v>42</v>
      </c>
      <c r="D6" s="7"/>
      <c r="E6" s="3">
        <v>45293</v>
      </c>
      <c r="F6" s="2" t="s">
        <v>15</v>
      </c>
      <c r="G6" s="2" t="s">
        <v>43</v>
      </c>
      <c r="H6" s="2" t="s">
        <v>44</v>
      </c>
      <c r="I6" s="2" t="s">
        <v>45</v>
      </c>
      <c r="J6" s="2" t="s">
        <v>19</v>
      </c>
      <c r="K6" s="2">
        <v>26</v>
      </c>
      <c r="L6" s="2" t="s">
        <v>27</v>
      </c>
    </row>
    <row r="7" spans="1:12">
      <c r="A7" s="2" t="s">
        <v>46</v>
      </c>
      <c r="B7" s="2" t="s">
        <v>47</v>
      </c>
      <c r="C7" s="4" t="s">
        <v>35</v>
      </c>
      <c r="D7" s="7">
        <v>4</v>
      </c>
      <c r="E7" s="3">
        <v>45294</v>
      </c>
      <c r="F7" s="2" t="s">
        <v>15</v>
      </c>
      <c r="G7" s="2" t="s">
        <v>16</v>
      </c>
      <c r="H7" s="2" t="s">
        <v>48</v>
      </c>
      <c r="I7" s="2" t="s">
        <v>45</v>
      </c>
      <c r="J7" s="2" t="s">
        <v>19</v>
      </c>
      <c r="K7" s="2">
        <v>6</v>
      </c>
      <c r="L7" s="2" t="s">
        <v>49</v>
      </c>
    </row>
    <row r="8" spans="1:12">
      <c r="A8" s="2" t="s">
        <v>50</v>
      </c>
      <c r="B8" s="2" t="s">
        <v>51</v>
      </c>
      <c r="C8" s="4" t="s">
        <v>52</v>
      </c>
      <c r="D8" s="7">
        <v>10</v>
      </c>
      <c r="E8" s="3">
        <v>45294</v>
      </c>
      <c r="F8" s="2" t="s">
        <v>53</v>
      </c>
      <c r="G8" s="2" t="s">
        <v>54</v>
      </c>
      <c r="H8" s="2" t="s">
        <v>37</v>
      </c>
      <c r="I8" s="2" t="s">
        <v>26</v>
      </c>
      <c r="J8" s="2" t="s">
        <v>19</v>
      </c>
      <c r="K8" s="2">
        <v>9</v>
      </c>
      <c r="L8" s="2" t="s">
        <v>27</v>
      </c>
    </row>
    <row r="9" spans="1:12">
      <c r="A9" s="2" t="s">
        <v>55</v>
      </c>
      <c r="B9" s="2" t="s">
        <v>56</v>
      </c>
      <c r="C9" s="4" t="s">
        <v>23</v>
      </c>
      <c r="D9" s="7">
        <v>3</v>
      </c>
      <c r="E9" s="3">
        <v>45295</v>
      </c>
      <c r="F9" s="2" t="s">
        <v>15</v>
      </c>
      <c r="G9" s="2" t="s">
        <v>57</v>
      </c>
      <c r="H9" s="2" t="s">
        <v>58</v>
      </c>
      <c r="I9" s="2" t="s">
        <v>26</v>
      </c>
      <c r="J9" s="2" t="s">
        <v>19</v>
      </c>
      <c r="K9" s="2">
        <v>15</v>
      </c>
      <c r="L9" s="2" t="s">
        <v>49</v>
      </c>
    </row>
    <row r="10" spans="1:12">
      <c r="A10" s="2" t="s">
        <v>59</v>
      </c>
      <c r="B10" s="2" t="s">
        <v>60</v>
      </c>
      <c r="C10" s="4" t="s">
        <v>23</v>
      </c>
      <c r="D10" s="7">
        <v>3</v>
      </c>
      <c r="E10" s="3">
        <v>45295</v>
      </c>
      <c r="F10" s="2" t="s">
        <v>15</v>
      </c>
      <c r="G10" s="2" t="s">
        <v>61</v>
      </c>
      <c r="H10" s="2" t="s">
        <v>62</v>
      </c>
      <c r="I10" s="2" t="s">
        <v>45</v>
      </c>
      <c r="J10" s="2" t="s">
        <v>19</v>
      </c>
      <c r="K10" s="2">
        <v>12</v>
      </c>
      <c r="L10" s="2" t="s">
        <v>27</v>
      </c>
    </row>
    <row r="11" spans="1:12">
      <c r="A11" s="2" t="s">
        <v>63</v>
      </c>
      <c r="B11" s="2" t="s">
        <v>64</v>
      </c>
      <c r="C11" s="4" t="s">
        <v>23</v>
      </c>
      <c r="D11" s="7">
        <v>6</v>
      </c>
      <c r="E11" s="3">
        <v>45296</v>
      </c>
      <c r="F11" s="2" t="s">
        <v>15</v>
      </c>
      <c r="G11" s="2" t="s">
        <v>65</v>
      </c>
      <c r="H11" s="2" t="s">
        <v>31</v>
      </c>
      <c r="I11" s="2" t="s">
        <v>45</v>
      </c>
      <c r="J11" s="2" t="s">
        <v>19</v>
      </c>
      <c r="K11" s="2">
        <v>42</v>
      </c>
      <c r="L11" s="2" t="s">
        <v>27</v>
      </c>
    </row>
    <row r="12" spans="1:12">
      <c r="A12" s="2" t="s">
        <v>66</v>
      </c>
      <c r="B12" s="2" t="s">
        <v>67</v>
      </c>
      <c r="C12" s="4" t="s">
        <v>23</v>
      </c>
      <c r="D12" s="7">
        <v>3</v>
      </c>
      <c r="E12" s="3">
        <v>45296</v>
      </c>
      <c r="F12" s="2" t="s">
        <v>15</v>
      </c>
      <c r="G12" s="2" t="s">
        <v>68</v>
      </c>
      <c r="H12" s="2" t="s">
        <v>69</v>
      </c>
      <c r="I12" s="2" t="s">
        <v>18</v>
      </c>
      <c r="J12" s="2" t="s">
        <v>70</v>
      </c>
      <c r="K12" s="2">
        <v>44</v>
      </c>
      <c r="L12" s="2" t="s">
        <v>49</v>
      </c>
    </row>
    <row r="13" spans="1:12">
      <c r="A13" s="2" t="s">
        <v>71</v>
      </c>
      <c r="B13" s="2" t="s">
        <v>72</v>
      </c>
      <c r="C13" s="4" t="s">
        <v>14</v>
      </c>
      <c r="D13" s="7">
        <v>7</v>
      </c>
      <c r="E13" s="3">
        <v>45297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19</v>
      </c>
      <c r="K13" s="2">
        <v>29</v>
      </c>
      <c r="L13" s="2" t="s">
        <v>49</v>
      </c>
    </row>
    <row r="14" spans="1:12">
      <c r="A14" s="2" t="s">
        <v>74</v>
      </c>
      <c r="B14" s="2" t="s">
        <v>75</v>
      </c>
      <c r="C14" s="4" t="s">
        <v>23</v>
      </c>
      <c r="D14" s="7">
        <v>5</v>
      </c>
      <c r="E14" s="3">
        <v>45297</v>
      </c>
      <c r="F14" s="2" t="s">
        <v>15</v>
      </c>
      <c r="G14" s="2" t="s">
        <v>76</v>
      </c>
      <c r="H14" s="2" t="s">
        <v>77</v>
      </c>
      <c r="I14" s="2" t="s">
        <v>18</v>
      </c>
      <c r="J14" s="2" t="s">
        <v>19</v>
      </c>
      <c r="K14" s="2">
        <v>35</v>
      </c>
      <c r="L14" s="2" t="s">
        <v>49</v>
      </c>
    </row>
    <row r="15" spans="1:12">
      <c r="A15" s="2" t="s">
        <v>78</v>
      </c>
      <c r="B15" s="2" t="s">
        <v>79</v>
      </c>
      <c r="C15" s="4" t="s">
        <v>35</v>
      </c>
      <c r="D15" s="7">
        <v>2</v>
      </c>
      <c r="E15" s="3">
        <v>45298</v>
      </c>
      <c r="F15" s="2" t="s">
        <v>15</v>
      </c>
      <c r="G15" s="2" t="s">
        <v>80</v>
      </c>
      <c r="H15" s="2" t="s">
        <v>81</v>
      </c>
      <c r="I15" s="2" t="s">
        <v>45</v>
      </c>
      <c r="J15" s="2" t="s">
        <v>19</v>
      </c>
      <c r="K15" s="2">
        <v>30</v>
      </c>
      <c r="L15" s="2" t="s">
        <v>27</v>
      </c>
    </row>
    <row r="16" spans="1:12">
      <c r="A16" s="2" t="s">
        <v>82</v>
      </c>
      <c r="B16" s="2" t="s">
        <v>83</v>
      </c>
      <c r="C16" s="4" t="s">
        <v>23</v>
      </c>
      <c r="D16" s="7">
        <v>6</v>
      </c>
      <c r="E16" s="3">
        <v>45298</v>
      </c>
      <c r="F16" s="2" t="s">
        <v>53</v>
      </c>
      <c r="G16" s="2" t="s">
        <v>84</v>
      </c>
      <c r="H16" s="2" t="s">
        <v>85</v>
      </c>
      <c r="I16" s="2" t="s">
        <v>26</v>
      </c>
      <c r="J16" s="2" t="s">
        <v>19</v>
      </c>
      <c r="K16" s="2">
        <v>29</v>
      </c>
      <c r="L16" s="2" t="s">
        <v>27</v>
      </c>
    </row>
    <row r="17" spans="1:12">
      <c r="A17" s="2" t="s">
        <v>86</v>
      </c>
      <c r="B17" s="2" t="s">
        <v>87</v>
      </c>
      <c r="C17" s="4" t="s">
        <v>42</v>
      </c>
      <c r="D17" s="7">
        <v>9</v>
      </c>
      <c r="E17" s="3">
        <v>45299</v>
      </c>
      <c r="F17" s="2" t="s">
        <v>53</v>
      </c>
      <c r="G17" s="2" t="s">
        <v>88</v>
      </c>
      <c r="H17" s="2" t="s">
        <v>69</v>
      </c>
      <c r="I17" s="2" t="s">
        <v>26</v>
      </c>
      <c r="J17" s="2" t="s">
        <v>19</v>
      </c>
      <c r="K17" s="2">
        <v>9</v>
      </c>
      <c r="L17" s="2" t="s">
        <v>49</v>
      </c>
    </row>
    <row r="18" spans="1:12">
      <c r="A18" s="2" t="s">
        <v>89</v>
      </c>
      <c r="B18" s="2" t="s">
        <v>90</v>
      </c>
      <c r="C18" s="4" t="s">
        <v>52</v>
      </c>
      <c r="D18" s="7">
        <v>9</v>
      </c>
      <c r="E18" s="3">
        <v>45299</v>
      </c>
      <c r="F18" s="2" t="s">
        <v>15</v>
      </c>
      <c r="G18" s="2" t="s">
        <v>91</v>
      </c>
      <c r="H18" s="2" t="s">
        <v>92</v>
      </c>
      <c r="I18" s="2" t="s">
        <v>18</v>
      </c>
      <c r="J18" s="2" t="s">
        <v>19</v>
      </c>
      <c r="K18" s="2">
        <v>8</v>
      </c>
      <c r="L18" s="2" t="s">
        <v>27</v>
      </c>
    </row>
    <row r="19" spans="1:12">
      <c r="A19" s="2" t="s">
        <v>93</v>
      </c>
      <c r="B19" s="2" t="s">
        <v>94</v>
      </c>
      <c r="C19" s="4" t="s">
        <v>35</v>
      </c>
      <c r="D19" s="7">
        <v>3</v>
      </c>
      <c r="E19" s="3">
        <v>45299</v>
      </c>
      <c r="F19" s="2" t="s">
        <v>15</v>
      </c>
      <c r="G19" s="2" t="s">
        <v>95</v>
      </c>
      <c r="H19" s="2" t="s">
        <v>96</v>
      </c>
      <c r="I19" s="2" t="s">
        <v>18</v>
      </c>
      <c r="J19" s="2" t="s">
        <v>70</v>
      </c>
      <c r="K19" s="2">
        <v>35</v>
      </c>
      <c r="L19" s="2" t="s">
        <v>20</v>
      </c>
    </row>
    <row r="20" spans="1:12">
      <c r="A20" s="2" t="s">
        <v>97</v>
      </c>
      <c r="B20" s="2" t="s">
        <v>98</v>
      </c>
      <c r="C20" s="4" t="s">
        <v>42</v>
      </c>
      <c r="D20" s="7">
        <v>7</v>
      </c>
      <c r="E20" s="3">
        <v>45299</v>
      </c>
      <c r="F20" s="2" t="s">
        <v>15</v>
      </c>
      <c r="G20" s="2" t="s">
        <v>99</v>
      </c>
      <c r="H20" s="2" t="s">
        <v>100</v>
      </c>
      <c r="I20" s="2" t="s">
        <v>45</v>
      </c>
      <c r="J20" s="2" t="s">
        <v>19</v>
      </c>
      <c r="K20" s="2">
        <v>20</v>
      </c>
      <c r="L20" s="2" t="s">
        <v>49</v>
      </c>
    </row>
    <row r="21" spans="1:12">
      <c r="A21" s="2" t="s">
        <v>101</v>
      </c>
      <c r="B21" s="2" t="s">
        <v>102</v>
      </c>
      <c r="C21" s="4" t="s">
        <v>23</v>
      </c>
      <c r="D21" s="7">
        <v>3</v>
      </c>
      <c r="E21" s="3">
        <v>45300</v>
      </c>
      <c r="F21" s="2" t="s">
        <v>15</v>
      </c>
      <c r="G21" s="2" t="s">
        <v>103</v>
      </c>
      <c r="H21" s="2" t="s">
        <v>104</v>
      </c>
      <c r="I21" s="2" t="s">
        <v>45</v>
      </c>
      <c r="J21" s="2" t="s">
        <v>19</v>
      </c>
      <c r="K21" s="2">
        <v>31</v>
      </c>
      <c r="L21" s="2" t="s">
        <v>27</v>
      </c>
    </row>
    <row r="22" spans="1:12">
      <c r="A22" s="2" t="s">
        <v>105</v>
      </c>
      <c r="B22" s="2" t="s">
        <v>106</v>
      </c>
      <c r="C22" s="4" t="s">
        <v>14</v>
      </c>
      <c r="D22" s="7">
        <v>5</v>
      </c>
      <c r="E22" s="3">
        <v>45300</v>
      </c>
      <c r="F22" s="2" t="s">
        <v>15</v>
      </c>
      <c r="G22" s="2" t="s">
        <v>107</v>
      </c>
      <c r="H22" s="2" t="s">
        <v>37</v>
      </c>
      <c r="I22" s="2" t="s">
        <v>38</v>
      </c>
      <c r="J22" s="2" t="s">
        <v>39</v>
      </c>
      <c r="K22" s="2">
        <v>39</v>
      </c>
      <c r="L22" s="2" t="s">
        <v>27</v>
      </c>
    </row>
    <row r="23" spans="1:12">
      <c r="A23" s="2" t="s">
        <v>108</v>
      </c>
      <c r="B23" s="2" t="s">
        <v>109</v>
      </c>
      <c r="C23" s="4" t="s">
        <v>23</v>
      </c>
      <c r="D23" s="7">
        <v>3</v>
      </c>
      <c r="E23" s="3">
        <v>45301</v>
      </c>
      <c r="F23" s="2" t="s">
        <v>15</v>
      </c>
      <c r="G23" s="2" t="s">
        <v>110</v>
      </c>
      <c r="H23" s="2" t="s">
        <v>31</v>
      </c>
      <c r="I23" s="2" t="s">
        <v>26</v>
      </c>
      <c r="J23" s="2" t="s">
        <v>19</v>
      </c>
      <c r="K23" s="2">
        <v>38</v>
      </c>
      <c r="L23" s="2" t="s">
        <v>32</v>
      </c>
    </row>
    <row r="24" spans="1:12">
      <c r="A24" s="2" t="s">
        <v>111</v>
      </c>
      <c r="B24" s="2" t="s">
        <v>112</v>
      </c>
      <c r="C24" s="4" t="s">
        <v>23</v>
      </c>
      <c r="D24" s="7">
        <v>4</v>
      </c>
      <c r="E24" s="3">
        <v>45301</v>
      </c>
      <c r="F24" s="2" t="s">
        <v>15</v>
      </c>
      <c r="G24" s="2" t="s">
        <v>113</v>
      </c>
      <c r="H24" s="2" t="s">
        <v>69</v>
      </c>
      <c r="I24" s="2" t="s">
        <v>26</v>
      </c>
      <c r="J24" s="2" t="s">
        <v>70</v>
      </c>
      <c r="K24" s="2">
        <v>44</v>
      </c>
      <c r="L24" s="2" t="s">
        <v>32</v>
      </c>
    </row>
    <row r="25" spans="1:12">
      <c r="A25" s="2" t="s">
        <v>114</v>
      </c>
      <c r="B25" s="2" t="s">
        <v>115</v>
      </c>
      <c r="C25" s="4" t="s">
        <v>35</v>
      </c>
      <c r="D25" s="7">
        <v>4</v>
      </c>
      <c r="E25" s="3">
        <v>45302</v>
      </c>
      <c r="F25" s="2" t="s">
        <v>116</v>
      </c>
      <c r="G25" s="2" t="s">
        <v>117</v>
      </c>
      <c r="H25" s="2" t="s">
        <v>31</v>
      </c>
      <c r="I25" s="2" t="s">
        <v>18</v>
      </c>
      <c r="J25" s="2" t="s">
        <v>19</v>
      </c>
      <c r="K25" s="2">
        <v>41</v>
      </c>
      <c r="L25" s="2" t="s">
        <v>20</v>
      </c>
    </row>
    <row r="26" spans="1:12">
      <c r="A26" s="2" t="s">
        <v>118</v>
      </c>
      <c r="B26" s="2" t="s">
        <v>119</v>
      </c>
      <c r="C26" s="4" t="s">
        <v>35</v>
      </c>
      <c r="D26" s="7">
        <v>4</v>
      </c>
      <c r="E26" s="3">
        <v>45302</v>
      </c>
      <c r="F26" s="2" t="s">
        <v>15</v>
      </c>
      <c r="G26" s="2" t="s">
        <v>120</v>
      </c>
      <c r="H26" s="2" t="s">
        <v>121</v>
      </c>
      <c r="I26" s="2" t="s">
        <v>18</v>
      </c>
      <c r="J26" s="2" t="s">
        <v>19</v>
      </c>
      <c r="K26" s="2">
        <v>7</v>
      </c>
      <c r="L26" s="2" t="s">
        <v>49</v>
      </c>
    </row>
    <row r="27" spans="1:12">
      <c r="A27" s="2" t="s">
        <v>122</v>
      </c>
      <c r="B27" s="2" t="s">
        <v>123</v>
      </c>
      <c r="C27" s="4" t="s">
        <v>35</v>
      </c>
      <c r="D27" s="7">
        <v>4</v>
      </c>
      <c r="E27" s="3">
        <v>45303</v>
      </c>
      <c r="F27" s="2" t="s">
        <v>15</v>
      </c>
      <c r="G27" s="2" t="s">
        <v>124</v>
      </c>
      <c r="H27" s="2" t="s">
        <v>125</v>
      </c>
      <c r="I27" s="2" t="s">
        <v>38</v>
      </c>
      <c r="J27" s="2" t="s">
        <v>19</v>
      </c>
      <c r="K27" s="2">
        <v>34</v>
      </c>
      <c r="L27" s="2" t="s">
        <v>27</v>
      </c>
    </row>
    <row r="28" spans="1:12">
      <c r="A28" s="2" t="s">
        <v>126</v>
      </c>
      <c r="B28" s="2" t="s">
        <v>127</v>
      </c>
      <c r="C28" s="4" t="s">
        <v>52</v>
      </c>
      <c r="D28" s="7">
        <v>10</v>
      </c>
      <c r="E28" s="3">
        <v>45303</v>
      </c>
      <c r="F28" s="2" t="s">
        <v>15</v>
      </c>
      <c r="G28" s="2" t="s">
        <v>128</v>
      </c>
      <c r="H28" s="2" t="s">
        <v>31</v>
      </c>
      <c r="I28" s="2" t="s">
        <v>45</v>
      </c>
      <c r="J28" s="2" t="s">
        <v>39</v>
      </c>
      <c r="K28" s="2">
        <v>36</v>
      </c>
      <c r="L28" s="2" t="s">
        <v>27</v>
      </c>
    </row>
    <row r="29" spans="1:12">
      <c r="A29" s="2" t="s">
        <v>129</v>
      </c>
      <c r="B29" s="2" t="s">
        <v>130</v>
      </c>
      <c r="C29" s="4" t="s">
        <v>14</v>
      </c>
      <c r="D29" s="7">
        <v>8</v>
      </c>
      <c r="E29" s="3">
        <v>45304</v>
      </c>
      <c r="F29" s="2" t="s">
        <v>15</v>
      </c>
      <c r="G29" s="2" t="s">
        <v>131</v>
      </c>
      <c r="H29" s="2" t="s">
        <v>37</v>
      </c>
      <c r="I29" s="2" t="s">
        <v>26</v>
      </c>
      <c r="J29" s="2" t="s">
        <v>19</v>
      </c>
      <c r="K29" s="2">
        <v>9</v>
      </c>
      <c r="L29" s="2" t="s">
        <v>20</v>
      </c>
    </row>
    <row r="30" spans="1:12">
      <c r="A30" s="2" t="s">
        <v>132</v>
      </c>
      <c r="B30" s="2" t="s">
        <v>133</v>
      </c>
      <c r="C30" s="4" t="s">
        <v>23</v>
      </c>
      <c r="D30" s="7">
        <v>6</v>
      </c>
      <c r="E30" s="3">
        <v>45304</v>
      </c>
      <c r="F30" s="2" t="s">
        <v>15</v>
      </c>
      <c r="G30" s="2" t="s">
        <v>134</v>
      </c>
      <c r="H30" s="2" t="s">
        <v>135</v>
      </c>
      <c r="I30" s="2" t="s">
        <v>26</v>
      </c>
      <c r="J30" s="2" t="s">
        <v>19</v>
      </c>
      <c r="K30" s="2">
        <v>39</v>
      </c>
      <c r="L30" s="2" t="s">
        <v>49</v>
      </c>
    </row>
    <row r="31" spans="1:12">
      <c r="A31" s="2" t="s">
        <v>136</v>
      </c>
      <c r="B31" s="2" t="s">
        <v>137</v>
      </c>
      <c r="C31" s="4" t="s">
        <v>42</v>
      </c>
      <c r="D31" s="7">
        <v>7</v>
      </c>
      <c r="E31" s="3">
        <v>45305</v>
      </c>
      <c r="F31" s="2" t="s">
        <v>15</v>
      </c>
      <c r="G31" s="2" t="s">
        <v>138</v>
      </c>
      <c r="H31" s="2" t="s">
        <v>37</v>
      </c>
      <c r="I31" s="2" t="s">
        <v>38</v>
      </c>
      <c r="J31" s="2" t="s">
        <v>19</v>
      </c>
      <c r="K31" s="2">
        <v>17</v>
      </c>
      <c r="L31" s="2" t="s">
        <v>27</v>
      </c>
    </row>
    <row r="32" spans="1:12">
      <c r="A32" s="2" t="s">
        <v>139</v>
      </c>
      <c r="B32" s="2" t="s">
        <v>140</v>
      </c>
      <c r="C32" s="4" t="s">
        <v>52</v>
      </c>
      <c r="D32" s="7">
        <v>10</v>
      </c>
      <c r="E32" s="3">
        <v>45305</v>
      </c>
      <c r="F32" s="2" t="s">
        <v>15</v>
      </c>
      <c r="G32" s="2" t="s">
        <v>141</v>
      </c>
      <c r="H32" s="2" t="s">
        <v>77</v>
      </c>
      <c r="I32" s="2" t="s">
        <v>45</v>
      </c>
      <c r="J32" s="2" t="s">
        <v>19</v>
      </c>
      <c r="K32" s="2">
        <v>26</v>
      </c>
      <c r="L32" s="2" t="s">
        <v>27</v>
      </c>
    </row>
    <row r="33" spans="1:12">
      <c r="A33" s="2" t="s">
        <v>142</v>
      </c>
      <c r="B33" s="2" t="s">
        <v>143</v>
      </c>
      <c r="C33" s="4" t="s">
        <v>14</v>
      </c>
      <c r="D33" s="7">
        <v>6</v>
      </c>
      <c r="E33" s="3">
        <v>45306</v>
      </c>
      <c r="F33" s="2" t="s">
        <v>116</v>
      </c>
      <c r="G33" s="2" t="s">
        <v>144</v>
      </c>
      <c r="H33" s="2" t="s">
        <v>31</v>
      </c>
      <c r="I33" s="2" t="s">
        <v>18</v>
      </c>
      <c r="J33" s="2" t="s">
        <v>39</v>
      </c>
      <c r="K33" s="2">
        <v>35</v>
      </c>
      <c r="L33" s="2" t="s">
        <v>49</v>
      </c>
    </row>
    <row r="34" spans="1:12">
      <c r="A34" s="2" t="s">
        <v>145</v>
      </c>
      <c r="B34" s="2" t="s">
        <v>146</v>
      </c>
      <c r="C34" s="4" t="s">
        <v>23</v>
      </c>
      <c r="D34" s="7">
        <v>5</v>
      </c>
      <c r="E34" s="3">
        <v>45306</v>
      </c>
      <c r="F34" s="2" t="s">
        <v>53</v>
      </c>
      <c r="G34" s="2" t="s">
        <v>147</v>
      </c>
      <c r="H34" s="2" t="s">
        <v>121</v>
      </c>
      <c r="I34" s="2" t="s">
        <v>26</v>
      </c>
      <c r="J34" s="2" t="s">
        <v>39</v>
      </c>
      <c r="K34" s="2">
        <v>25</v>
      </c>
      <c r="L34" s="2" t="s">
        <v>20</v>
      </c>
    </row>
    <row r="35" spans="1:12">
      <c r="A35" s="2" t="s">
        <v>148</v>
      </c>
      <c r="B35" s="2" t="s">
        <v>149</v>
      </c>
      <c r="C35" s="4" t="s">
        <v>23</v>
      </c>
      <c r="D35" s="7">
        <v>3</v>
      </c>
      <c r="E35" s="3">
        <v>45307</v>
      </c>
      <c r="F35" s="2" t="s">
        <v>116</v>
      </c>
      <c r="G35" s="2" t="s">
        <v>120</v>
      </c>
      <c r="H35" s="2" t="s">
        <v>121</v>
      </c>
      <c r="I35" s="2" t="s">
        <v>18</v>
      </c>
      <c r="J35" s="2" t="s">
        <v>19</v>
      </c>
      <c r="K35" s="2">
        <v>35</v>
      </c>
      <c r="L35" s="2" t="s">
        <v>20</v>
      </c>
    </row>
    <row r="36" spans="1:12">
      <c r="A36" s="2" t="s">
        <v>150</v>
      </c>
      <c r="B36" s="2" t="s">
        <v>151</v>
      </c>
      <c r="C36" s="4" t="s">
        <v>23</v>
      </c>
      <c r="D36" s="7">
        <v>3</v>
      </c>
      <c r="E36" s="3">
        <v>45307</v>
      </c>
      <c r="F36" s="2" t="s">
        <v>15</v>
      </c>
      <c r="G36" s="2" t="s">
        <v>152</v>
      </c>
      <c r="H36" s="2" t="s">
        <v>31</v>
      </c>
      <c r="I36" s="2" t="s">
        <v>26</v>
      </c>
      <c r="J36" s="2" t="s">
        <v>19</v>
      </c>
      <c r="K36" s="2">
        <v>38</v>
      </c>
      <c r="L36" s="2" t="s">
        <v>49</v>
      </c>
    </row>
    <row r="37" spans="1:12">
      <c r="A37" s="2" t="s">
        <v>153</v>
      </c>
      <c r="B37" s="2" t="s">
        <v>154</v>
      </c>
      <c r="C37" s="4" t="s">
        <v>23</v>
      </c>
      <c r="D37" s="7">
        <v>3</v>
      </c>
      <c r="E37" s="3">
        <v>45308</v>
      </c>
      <c r="F37" s="2" t="s">
        <v>15</v>
      </c>
      <c r="G37" s="2" t="s">
        <v>155</v>
      </c>
      <c r="H37" s="2" t="s">
        <v>156</v>
      </c>
      <c r="I37" s="2" t="s">
        <v>45</v>
      </c>
      <c r="J37" s="2" t="s">
        <v>39</v>
      </c>
      <c r="K37" s="2">
        <v>14</v>
      </c>
      <c r="L37" s="2" t="s">
        <v>27</v>
      </c>
    </row>
    <row r="38" spans="1:12">
      <c r="A38" s="2" t="s">
        <v>157</v>
      </c>
      <c r="B38" s="2" t="s">
        <v>158</v>
      </c>
      <c r="C38" s="4" t="s">
        <v>23</v>
      </c>
      <c r="D38" s="7">
        <v>6</v>
      </c>
      <c r="E38" s="3">
        <v>45308</v>
      </c>
      <c r="F38" s="2" t="s">
        <v>15</v>
      </c>
      <c r="G38" s="2" t="s">
        <v>68</v>
      </c>
      <c r="H38" s="2" t="s">
        <v>69</v>
      </c>
      <c r="I38" s="2" t="s">
        <v>45</v>
      </c>
      <c r="J38" s="2" t="s">
        <v>19</v>
      </c>
      <c r="K38" s="2">
        <v>43</v>
      </c>
      <c r="L38" s="2" t="s">
        <v>27</v>
      </c>
    </row>
    <row r="39" spans="1:12">
      <c r="A39" s="2" t="s">
        <v>159</v>
      </c>
      <c r="B39" s="2" t="s">
        <v>160</v>
      </c>
      <c r="C39" s="4" t="s">
        <v>52</v>
      </c>
      <c r="D39" s="7">
        <v>9</v>
      </c>
      <c r="E39" s="3">
        <v>45309</v>
      </c>
      <c r="F39" s="2" t="s">
        <v>15</v>
      </c>
      <c r="G39" s="2" t="s">
        <v>161</v>
      </c>
      <c r="H39" s="2" t="s">
        <v>69</v>
      </c>
      <c r="I39" s="2" t="s">
        <v>26</v>
      </c>
      <c r="J39" s="2" t="s">
        <v>19</v>
      </c>
      <c r="K39" s="2">
        <v>43</v>
      </c>
      <c r="L39" s="2" t="s">
        <v>27</v>
      </c>
    </row>
    <row r="40" spans="1:12">
      <c r="A40" s="2" t="s">
        <v>162</v>
      </c>
      <c r="B40" s="2" t="s">
        <v>163</v>
      </c>
      <c r="C40" s="4" t="s">
        <v>14</v>
      </c>
      <c r="D40" s="7">
        <v>6</v>
      </c>
      <c r="E40" s="3">
        <v>45309</v>
      </c>
      <c r="F40" s="2" t="s">
        <v>15</v>
      </c>
      <c r="G40" s="2" t="s">
        <v>164</v>
      </c>
      <c r="H40" s="2" t="s">
        <v>44</v>
      </c>
      <c r="I40" s="2" t="s">
        <v>45</v>
      </c>
      <c r="J40" s="2" t="s">
        <v>19</v>
      </c>
      <c r="K40" s="2">
        <v>6</v>
      </c>
      <c r="L40" s="2" t="s">
        <v>49</v>
      </c>
    </row>
    <row r="41" spans="1:12">
      <c r="A41" s="2" t="s">
        <v>165</v>
      </c>
      <c r="B41" s="2" t="s">
        <v>166</v>
      </c>
      <c r="C41" s="4" t="s">
        <v>42</v>
      </c>
      <c r="D41" s="7">
        <v>7</v>
      </c>
      <c r="E41" s="3">
        <v>45310</v>
      </c>
      <c r="F41" s="2" t="s">
        <v>15</v>
      </c>
      <c r="G41" s="2" t="s">
        <v>167</v>
      </c>
      <c r="H41" s="2" t="s">
        <v>168</v>
      </c>
      <c r="I41" s="2" t="s">
        <v>38</v>
      </c>
      <c r="J41" s="2" t="s">
        <v>39</v>
      </c>
      <c r="K41" s="2">
        <v>41</v>
      </c>
      <c r="L41" s="2" t="s">
        <v>27</v>
      </c>
    </row>
    <row r="42" spans="1:12">
      <c r="A42" s="2" t="s">
        <v>169</v>
      </c>
      <c r="B42" s="2" t="s">
        <v>170</v>
      </c>
      <c r="C42" s="4" t="s">
        <v>23</v>
      </c>
      <c r="D42" s="7">
        <v>4</v>
      </c>
      <c r="E42" s="3">
        <v>45310</v>
      </c>
      <c r="F42" s="2" t="s">
        <v>53</v>
      </c>
      <c r="G42" s="2" t="s">
        <v>171</v>
      </c>
      <c r="H42" s="2" t="s">
        <v>172</v>
      </c>
      <c r="I42" s="2" t="s">
        <v>26</v>
      </c>
      <c r="J42" s="2" t="s">
        <v>19</v>
      </c>
      <c r="K42" s="2">
        <v>27</v>
      </c>
      <c r="L42" s="2" t="s">
        <v>49</v>
      </c>
    </row>
    <row r="43" spans="1:12">
      <c r="A43" s="2" t="s">
        <v>173</v>
      </c>
      <c r="B43" s="2" t="s">
        <v>174</v>
      </c>
      <c r="C43" s="4" t="s">
        <v>42</v>
      </c>
      <c r="D43" s="7">
        <v>7</v>
      </c>
      <c r="E43" s="3">
        <v>45311</v>
      </c>
      <c r="F43" s="2" t="s">
        <v>53</v>
      </c>
      <c r="G43" s="2" t="s">
        <v>175</v>
      </c>
      <c r="H43" s="2" t="s">
        <v>77</v>
      </c>
      <c r="I43" s="2" t="s">
        <v>26</v>
      </c>
      <c r="J43" s="2" t="s">
        <v>19</v>
      </c>
      <c r="K43" s="2">
        <v>9</v>
      </c>
      <c r="L43" s="2" t="s">
        <v>27</v>
      </c>
    </row>
    <row r="44" spans="1:12">
      <c r="A44" s="2" t="s">
        <v>176</v>
      </c>
      <c r="B44" s="2" t="s">
        <v>177</v>
      </c>
      <c r="C44" s="4" t="s">
        <v>35</v>
      </c>
      <c r="D44" s="7">
        <v>4</v>
      </c>
      <c r="E44" s="3">
        <v>45311</v>
      </c>
      <c r="F44" s="2" t="s">
        <v>53</v>
      </c>
      <c r="G44" s="2" t="s">
        <v>95</v>
      </c>
      <c r="H44" s="2" t="s">
        <v>96</v>
      </c>
      <c r="I44" s="2" t="s">
        <v>26</v>
      </c>
      <c r="J44" s="2" t="s">
        <v>19</v>
      </c>
      <c r="K44" s="2">
        <v>30</v>
      </c>
      <c r="L44" s="2" t="s">
        <v>27</v>
      </c>
    </row>
    <row r="45" spans="1:12">
      <c r="A45" s="2" t="s">
        <v>178</v>
      </c>
      <c r="B45" s="2" t="s">
        <v>179</v>
      </c>
      <c r="C45" s="4" t="s">
        <v>35</v>
      </c>
      <c r="D45" s="7">
        <v>2</v>
      </c>
      <c r="E45" s="3">
        <v>45312</v>
      </c>
      <c r="F45" s="2" t="s">
        <v>15</v>
      </c>
      <c r="G45" s="2" t="s">
        <v>180</v>
      </c>
      <c r="H45" s="2" t="s">
        <v>100</v>
      </c>
      <c r="I45" s="2" t="s">
        <v>18</v>
      </c>
      <c r="J45" s="2" t="s">
        <v>70</v>
      </c>
      <c r="K45" s="2">
        <v>36</v>
      </c>
      <c r="L45" s="2" t="s">
        <v>20</v>
      </c>
    </row>
    <row r="46" spans="1:12">
      <c r="A46" s="2" t="s">
        <v>181</v>
      </c>
      <c r="B46" s="2" t="s">
        <v>182</v>
      </c>
      <c r="C46" s="4" t="s">
        <v>23</v>
      </c>
      <c r="D46" s="7">
        <v>3</v>
      </c>
      <c r="E46" s="3">
        <v>45312</v>
      </c>
      <c r="F46" s="2" t="s">
        <v>53</v>
      </c>
      <c r="G46" s="2" t="s">
        <v>183</v>
      </c>
      <c r="H46" s="2" t="s">
        <v>184</v>
      </c>
      <c r="I46" s="2" t="s">
        <v>26</v>
      </c>
      <c r="J46" s="2" t="s">
        <v>70</v>
      </c>
      <c r="K46" s="2">
        <v>17</v>
      </c>
      <c r="L46" s="2" t="s">
        <v>49</v>
      </c>
    </row>
    <row r="47" spans="1:12">
      <c r="A47" s="2" t="s">
        <v>185</v>
      </c>
      <c r="B47" s="2" t="s">
        <v>186</v>
      </c>
      <c r="C47" s="4" t="s">
        <v>35</v>
      </c>
      <c r="D47" s="7">
        <v>4</v>
      </c>
      <c r="E47" s="3">
        <v>45313</v>
      </c>
      <c r="F47" s="2" t="s">
        <v>15</v>
      </c>
      <c r="G47" s="2" t="s">
        <v>36</v>
      </c>
      <c r="H47" s="2" t="s">
        <v>37</v>
      </c>
      <c r="I47" s="2" t="s">
        <v>45</v>
      </c>
      <c r="J47" s="2" t="s">
        <v>19</v>
      </c>
      <c r="K47" s="2">
        <v>38</v>
      </c>
      <c r="L47" s="2" t="s">
        <v>49</v>
      </c>
    </row>
    <row r="48" spans="1:12">
      <c r="A48" s="2" t="s">
        <v>187</v>
      </c>
      <c r="B48" s="2" t="s">
        <v>188</v>
      </c>
      <c r="C48" s="4" t="s">
        <v>35</v>
      </c>
      <c r="D48" s="7">
        <v>2</v>
      </c>
      <c r="E48" s="3">
        <v>45313</v>
      </c>
      <c r="F48" s="2" t="s">
        <v>116</v>
      </c>
      <c r="G48" s="2" t="s">
        <v>189</v>
      </c>
      <c r="H48" s="2" t="s">
        <v>69</v>
      </c>
      <c r="I48" s="2" t="s">
        <v>18</v>
      </c>
      <c r="J48" s="2" t="s">
        <v>19</v>
      </c>
      <c r="K48" s="2">
        <v>36</v>
      </c>
      <c r="L48" s="2" t="s">
        <v>27</v>
      </c>
    </row>
    <row r="49" spans="1:12">
      <c r="A49" s="2" t="s">
        <v>190</v>
      </c>
      <c r="B49" s="2" t="s">
        <v>191</v>
      </c>
      <c r="C49" s="4" t="s">
        <v>42</v>
      </c>
      <c r="D49" s="7">
        <v>9</v>
      </c>
      <c r="E49" s="3">
        <v>45314</v>
      </c>
      <c r="F49" s="2" t="s">
        <v>15</v>
      </c>
      <c r="G49" s="2" t="s">
        <v>192</v>
      </c>
      <c r="H49" s="2" t="s">
        <v>69</v>
      </c>
      <c r="I49" s="2" t="s">
        <v>18</v>
      </c>
      <c r="J49" s="2" t="s">
        <v>19</v>
      </c>
      <c r="K49" s="2">
        <v>38</v>
      </c>
      <c r="L49" s="2" t="s">
        <v>49</v>
      </c>
    </row>
    <row r="50" spans="1:12">
      <c r="A50" s="2" t="s">
        <v>193</v>
      </c>
      <c r="B50" s="2" t="s">
        <v>194</v>
      </c>
      <c r="C50" s="4" t="s">
        <v>23</v>
      </c>
      <c r="D50" s="7">
        <v>6</v>
      </c>
      <c r="E50" s="3">
        <v>45314</v>
      </c>
      <c r="F50" s="2" t="s">
        <v>15</v>
      </c>
      <c r="G50" s="2" t="s">
        <v>195</v>
      </c>
      <c r="H50" s="2" t="s">
        <v>196</v>
      </c>
      <c r="I50" s="2" t="s">
        <v>18</v>
      </c>
      <c r="J50" s="2" t="s">
        <v>19</v>
      </c>
      <c r="K50" s="2">
        <v>13</v>
      </c>
      <c r="L50" s="2" t="s">
        <v>49</v>
      </c>
    </row>
    <row r="51" spans="1:12">
      <c r="A51" s="2" t="s">
        <v>197</v>
      </c>
      <c r="B51" s="2" t="s">
        <v>198</v>
      </c>
      <c r="C51" s="4" t="s">
        <v>42</v>
      </c>
      <c r="D51" s="7">
        <v>8</v>
      </c>
      <c r="E51" s="3">
        <v>45315</v>
      </c>
      <c r="F51" s="2" t="s">
        <v>116</v>
      </c>
      <c r="G51" s="2" t="s">
        <v>199</v>
      </c>
      <c r="H51" s="2" t="s">
        <v>200</v>
      </c>
      <c r="I51" s="2" t="s">
        <v>18</v>
      </c>
      <c r="J51" s="2" t="s">
        <v>19</v>
      </c>
      <c r="K51" s="2">
        <v>42</v>
      </c>
      <c r="L51" s="2" t="s">
        <v>27</v>
      </c>
    </row>
    <row r="52" spans="1:12">
      <c r="A52" s="2" t="s">
        <v>201</v>
      </c>
      <c r="B52" s="2" t="s">
        <v>202</v>
      </c>
      <c r="C52" s="4" t="s">
        <v>14</v>
      </c>
      <c r="D52" s="7">
        <v>8</v>
      </c>
      <c r="E52" s="3">
        <v>45315</v>
      </c>
      <c r="F52" s="2" t="s">
        <v>116</v>
      </c>
      <c r="G52" s="2" t="s">
        <v>203</v>
      </c>
      <c r="H52" s="2" t="s">
        <v>204</v>
      </c>
      <c r="I52" s="2" t="s">
        <v>18</v>
      </c>
      <c r="J52" s="2" t="s">
        <v>19</v>
      </c>
      <c r="K52" s="2">
        <v>7</v>
      </c>
      <c r="L52" s="2" t="s">
        <v>49</v>
      </c>
    </row>
    <row r="53" spans="1:12">
      <c r="A53" s="2" t="s">
        <v>205</v>
      </c>
      <c r="B53" s="2" t="s">
        <v>206</v>
      </c>
      <c r="C53" s="4" t="s">
        <v>35</v>
      </c>
      <c r="D53" s="7">
        <v>4</v>
      </c>
      <c r="E53" s="3">
        <v>45315</v>
      </c>
      <c r="F53" s="2" t="s">
        <v>53</v>
      </c>
      <c r="G53" s="2" t="s">
        <v>207</v>
      </c>
      <c r="H53" s="2" t="s">
        <v>69</v>
      </c>
      <c r="I53" s="2" t="s">
        <v>26</v>
      </c>
      <c r="J53" s="2" t="s">
        <v>19</v>
      </c>
      <c r="K53" s="2">
        <v>30</v>
      </c>
      <c r="L53" s="2" t="s">
        <v>49</v>
      </c>
    </row>
    <row r="54" spans="1:12">
      <c r="A54" s="2" t="s">
        <v>208</v>
      </c>
      <c r="B54" s="2" t="s">
        <v>209</v>
      </c>
      <c r="C54" s="4" t="s">
        <v>23</v>
      </c>
      <c r="D54" s="7">
        <v>4</v>
      </c>
      <c r="E54" s="3">
        <v>45315</v>
      </c>
      <c r="F54" s="2" t="s">
        <v>116</v>
      </c>
      <c r="G54" s="2" t="s">
        <v>107</v>
      </c>
      <c r="H54" s="2" t="s">
        <v>37</v>
      </c>
      <c r="I54" s="2" t="s">
        <v>18</v>
      </c>
      <c r="J54" s="2" t="s">
        <v>70</v>
      </c>
      <c r="K54" s="2">
        <v>22</v>
      </c>
      <c r="L54" s="2" t="s">
        <v>49</v>
      </c>
    </row>
    <row r="55" spans="1:12">
      <c r="A55" s="2" t="s">
        <v>210</v>
      </c>
      <c r="B55" s="2" t="s">
        <v>211</v>
      </c>
      <c r="C55" s="4" t="s">
        <v>42</v>
      </c>
      <c r="D55" s="7">
        <v>7</v>
      </c>
      <c r="E55" s="3">
        <v>45316</v>
      </c>
      <c r="F55" s="2" t="s">
        <v>15</v>
      </c>
      <c r="G55" s="2" t="s">
        <v>212</v>
      </c>
      <c r="H55" s="2" t="s">
        <v>213</v>
      </c>
      <c r="I55" s="2" t="s">
        <v>26</v>
      </c>
      <c r="J55" s="2" t="s">
        <v>19</v>
      </c>
      <c r="K55" s="2">
        <v>8</v>
      </c>
      <c r="L55" s="2" t="s">
        <v>49</v>
      </c>
    </row>
    <row r="56" spans="1:12">
      <c r="A56" s="2" t="s">
        <v>214</v>
      </c>
      <c r="B56" s="2" t="s">
        <v>215</v>
      </c>
      <c r="C56" s="4" t="s">
        <v>35</v>
      </c>
      <c r="D56" s="7">
        <v>3</v>
      </c>
      <c r="E56" s="3">
        <v>45316</v>
      </c>
      <c r="F56" s="2" t="s">
        <v>15</v>
      </c>
      <c r="G56" s="2" t="s">
        <v>216</v>
      </c>
      <c r="H56" s="2" t="s">
        <v>196</v>
      </c>
      <c r="I56" s="2" t="s">
        <v>18</v>
      </c>
      <c r="J56" s="2" t="s">
        <v>70</v>
      </c>
      <c r="K56" s="2">
        <v>44</v>
      </c>
      <c r="L56" s="2" t="s">
        <v>49</v>
      </c>
    </row>
    <row r="57" spans="1:12">
      <c r="A57" s="2" t="s">
        <v>217</v>
      </c>
      <c r="B57" s="2" t="s">
        <v>218</v>
      </c>
      <c r="C57" s="4" t="s">
        <v>35</v>
      </c>
      <c r="D57" s="7">
        <v>1</v>
      </c>
      <c r="E57" s="3">
        <v>45317</v>
      </c>
      <c r="F57" s="2" t="s">
        <v>15</v>
      </c>
      <c r="G57" s="2" t="s">
        <v>155</v>
      </c>
      <c r="H57" s="2" t="s">
        <v>156</v>
      </c>
      <c r="I57" s="2" t="s">
        <v>18</v>
      </c>
      <c r="J57" s="2" t="s">
        <v>19</v>
      </c>
      <c r="K57" s="2">
        <v>34</v>
      </c>
      <c r="L57" s="2" t="s">
        <v>49</v>
      </c>
    </row>
    <row r="58" spans="1:12">
      <c r="A58" s="2" t="s">
        <v>219</v>
      </c>
      <c r="B58" s="2" t="s">
        <v>220</v>
      </c>
      <c r="C58" s="4" t="s">
        <v>23</v>
      </c>
      <c r="D58" s="7">
        <v>6</v>
      </c>
      <c r="E58" s="3">
        <v>45317</v>
      </c>
      <c r="F58" s="2" t="s">
        <v>15</v>
      </c>
      <c r="G58" s="2" t="s">
        <v>120</v>
      </c>
      <c r="H58" s="2" t="s">
        <v>121</v>
      </c>
      <c r="I58" s="2" t="s">
        <v>26</v>
      </c>
      <c r="J58" s="2" t="s">
        <v>19</v>
      </c>
      <c r="K58" s="2">
        <v>18</v>
      </c>
      <c r="L58" s="2" t="s">
        <v>27</v>
      </c>
    </row>
    <row r="59" spans="1:12">
      <c r="A59" s="2" t="s">
        <v>221</v>
      </c>
      <c r="B59" s="2" t="s">
        <v>222</v>
      </c>
      <c r="C59" s="4" t="s">
        <v>23</v>
      </c>
      <c r="D59" s="7">
        <v>4</v>
      </c>
      <c r="E59" s="3">
        <v>45318</v>
      </c>
      <c r="F59" s="2" t="s">
        <v>15</v>
      </c>
      <c r="G59" s="2" t="s">
        <v>223</v>
      </c>
      <c r="H59" s="2" t="s">
        <v>200</v>
      </c>
      <c r="I59" s="2" t="s">
        <v>38</v>
      </c>
      <c r="J59" s="2" t="s">
        <v>19</v>
      </c>
      <c r="K59" s="2">
        <v>23</v>
      </c>
      <c r="L59" s="2" t="s">
        <v>27</v>
      </c>
    </row>
    <row r="60" spans="1:12">
      <c r="A60" s="2" t="s">
        <v>224</v>
      </c>
      <c r="B60" s="2" t="s">
        <v>225</v>
      </c>
      <c r="C60" s="4" t="s">
        <v>14</v>
      </c>
      <c r="D60" s="7">
        <v>7</v>
      </c>
      <c r="E60" s="3">
        <v>45318</v>
      </c>
      <c r="F60" s="2" t="s">
        <v>15</v>
      </c>
      <c r="G60" s="2" t="s">
        <v>226</v>
      </c>
      <c r="H60" s="2" t="s">
        <v>196</v>
      </c>
      <c r="I60" s="2" t="s">
        <v>26</v>
      </c>
      <c r="J60" s="2" t="s">
        <v>19</v>
      </c>
      <c r="K60" s="2">
        <v>37</v>
      </c>
      <c r="L60" s="2" t="s">
        <v>27</v>
      </c>
    </row>
    <row r="61" spans="1:12">
      <c r="A61" s="2" t="s">
        <v>227</v>
      </c>
      <c r="B61" s="2" t="s">
        <v>228</v>
      </c>
      <c r="C61" s="4" t="s">
        <v>52</v>
      </c>
      <c r="D61" s="7">
        <v>9</v>
      </c>
      <c r="E61" s="3">
        <v>45319</v>
      </c>
      <c r="F61" s="2" t="s">
        <v>15</v>
      </c>
      <c r="G61" s="2" t="s">
        <v>229</v>
      </c>
      <c r="H61" s="2" t="s">
        <v>77</v>
      </c>
      <c r="I61" s="2" t="s">
        <v>45</v>
      </c>
      <c r="J61" s="2" t="s">
        <v>19</v>
      </c>
      <c r="K61" s="2">
        <v>14</v>
      </c>
      <c r="L61" s="2" t="s">
        <v>49</v>
      </c>
    </row>
    <row r="62" spans="1:12">
      <c r="A62" s="2" t="s">
        <v>230</v>
      </c>
      <c r="B62" s="2" t="s">
        <v>231</v>
      </c>
      <c r="C62" s="4" t="s">
        <v>23</v>
      </c>
      <c r="D62" s="7">
        <v>5</v>
      </c>
      <c r="E62" s="3">
        <v>45319</v>
      </c>
      <c r="F62" s="2" t="s">
        <v>15</v>
      </c>
      <c r="G62" s="2" t="s">
        <v>232</v>
      </c>
      <c r="H62" s="2" t="s">
        <v>184</v>
      </c>
      <c r="I62" s="2" t="s">
        <v>45</v>
      </c>
      <c r="J62" s="2" t="s">
        <v>19</v>
      </c>
      <c r="K62" s="2">
        <v>31</v>
      </c>
      <c r="L62" s="2" t="s">
        <v>32</v>
      </c>
    </row>
    <row r="63" spans="1:12">
      <c r="A63" s="2" t="s">
        <v>233</v>
      </c>
      <c r="B63" s="2" t="s">
        <v>234</v>
      </c>
      <c r="C63" s="4" t="s">
        <v>35</v>
      </c>
      <c r="D63" s="7">
        <v>1</v>
      </c>
      <c r="E63" s="3">
        <v>45320</v>
      </c>
      <c r="F63" s="2" t="s">
        <v>53</v>
      </c>
      <c r="G63" s="2" t="s">
        <v>235</v>
      </c>
      <c r="H63" s="2" t="s">
        <v>196</v>
      </c>
      <c r="I63" s="2" t="s">
        <v>26</v>
      </c>
      <c r="J63" s="2" t="s">
        <v>19</v>
      </c>
      <c r="K63" s="2">
        <v>10</v>
      </c>
      <c r="L63" s="2" t="s">
        <v>32</v>
      </c>
    </row>
    <row r="64" spans="1:12">
      <c r="A64" s="2" t="s">
        <v>236</v>
      </c>
      <c r="B64" s="2" t="s">
        <v>237</v>
      </c>
      <c r="C64" s="4" t="s">
        <v>23</v>
      </c>
      <c r="D64" s="7">
        <v>3</v>
      </c>
      <c r="E64" s="3">
        <v>45320</v>
      </c>
      <c r="F64" s="2" t="s">
        <v>15</v>
      </c>
      <c r="G64" s="2" t="s">
        <v>238</v>
      </c>
      <c r="H64" s="2" t="s">
        <v>31</v>
      </c>
      <c r="I64" s="2" t="s">
        <v>18</v>
      </c>
      <c r="J64" s="2" t="s">
        <v>70</v>
      </c>
      <c r="K64" s="2">
        <v>45</v>
      </c>
      <c r="L64" s="2" t="s">
        <v>49</v>
      </c>
    </row>
    <row r="65" spans="1:12">
      <c r="A65" s="2" t="s">
        <v>239</v>
      </c>
      <c r="B65" s="2" t="s">
        <v>240</v>
      </c>
      <c r="C65" s="4" t="s">
        <v>23</v>
      </c>
      <c r="D65" s="7">
        <v>5</v>
      </c>
      <c r="E65" s="3">
        <v>45320</v>
      </c>
      <c r="F65" s="2" t="s">
        <v>15</v>
      </c>
      <c r="G65" s="2" t="s">
        <v>57</v>
      </c>
      <c r="H65" s="2" t="s">
        <v>58</v>
      </c>
      <c r="I65" s="2" t="s">
        <v>38</v>
      </c>
      <c r="J65" s="2" t="s">
        <v>19</v>
      </c>
      <c r="K65" s="2">
        <v>8</v>
      </c>
      <c r="L65" s="2" t="s">
        <v>32</v>
      </c>
    </row>
    <row r="66" spans="1:12">
      <c r="A66" s="2" t="s">
        <v>241</v>
      </c>
      <c r="B66" s="2" t="s">
        <v>242</v>
      </c>
      <c r="C66" s="4" t="s">
        <v>42</v>
      </c>
      <c r="D66" s="7">
        <v>8</v>
      </c>
      <c r="E66" s="3">
        <v>45320</v>
      </c>
      <c r="F66" s="2" t="s">
        <v>15</v>
      </c>
      <c r="G66" s="2" t="s">
        <v>243</v>
      </c>
      <c r="H66" s="2" t="s">
        <v>69</v>
      </c>
      <c r="I66" s="2" t="s">
        <v>38</v>
      </c>
      <c r="J66" s="2" t="s">
        <v>39</v>
      </c>
      <c r="K66" s="2">
        <v>35</v>
      </c>
      <c r="L66" s="2" t="s">
        <v>27</v>
      </c>
    </row>
    <row r="67" spans="1:12">
      <c r="A67" s="2" t="s">
        <v>244</v>
      </c>
      <c r="B67" s="2" t="s">
        <v>245</v>
      </c>
      <c r="C67" s="4" t="s">
        <v>52</v>
      </c>
      <c r="D67" s="7">
        <v>9</v>
      </c>
      <c r="E67" s="3">
        <v>45320</v>
      </c>
      <c r="F67" s="2" t="s">
        <v>53</v>
      </c>
      <c r="G67" s="2" t="s">
        <v>110</v>
      </c>
      <c r="H67" s="2" t="s">
        <v>31</v>
      </c>
      <c r="I67" s="2" t="s">
        <v>26</v>
      </c>
      <c r="J67" s="2" t="s">
        <v>19</v>
      </c>
      <c r="K67" s="2">
        <v>33</v>
      </c>
      <c r="L67" s="2" t="s">
        <v>27</v>
      </c>
    </row>
    <row r="68" spans="1:12">
      <c r="A68" s="2" t="s">
        <v>246</v>
      </c>
      <c r="B68" s="2" t="s">
        <v>247</v>
      </c>
      <c r="C68" s="4" t="s">
        <v>14</v>
      </c>
      <c r="D68" s="7">
        <v>8</v>
      </c>
      <c r="E68" s="3">
        <v>45321</v>
      </c>
      <c r="F68" s="2" t="s">
        <v>53</v>
      </c>
      <c r="G68" s="2" t="s">
        <v>195</v>
      </c>
      <c r="H68" s="2" t="s">
        <v>196</v>
      </c>
      <c r="I68" s="2" t="s">
        <v>26</v>
      </c>
      <c r="J68" s="2" t="s">
        <v>19</v>
      </c>
      <c r="K68" s="2">
        <v>8</v>
      </c>
      <c r="L68" s="2" t="s">
        <v>49</v>
      </c>
    </row>
    <row r="69" spans="1:12">
      <c r="A69" s="2" t="s">
        <v>248</v>
      </c>
      <c r="B69" s="2" t="s">
        <v>249</v>
      </c>
      <c r="C69" s="4" t="s">
        <v>23</v>
      </c>
      <c r="D69" s="7">
        <v>3</v>
      </c>
      <c r="E69" s="3">
        <v>45321</v>
      </c>
      <c r="F69" s="2" t="s">
        <v>15</v>
      </c>
      <c r="G69" s="2" t="s">
        <v>250</v>
      </c>
      <c r="H69" s="2" t="s">
        <v>251</v>
      </c>
      <c r="I69" s="2" t="s">
        <v>45</v>
      </c>
      <c r="J69" s="2" t="s">
        <v>19</v>
      </c>
      <c r="K69" s="2">
        <v>19</v>
      </c>
      <c r="L69" s="2" t="s">
        <v>49</v>
      </c>
    </row>
    <row r="70" spans="1:12">
      <c r="A70" s="2" t="s">
        <v>252</v>
      </c>
      <c r="B70" s="2" t="s">
        <v>253</v>
      </c>
      <c r="C70" s="4" t="s">
        <v>23</v>
      </c>
      <c r="D70" s="7">
        <v>3</v>
      </c>
      <c r="E70" s="3">
        <v>45322</v>
      </c>
      <c r="F70" s="2" t="s">
        <v>15</v>
      </c>
      <c r="G70" s="2" t="s">
        <v>250</v>
      </c>
      <c r="H70" s="2" t="s">
        <v>254</v>
      </c>
      <c r="I70" s="2" t="s">
        <v>45</v>
      </c>
      <c r="J70" s="2" t="s">
        <v>19</v>
      </c>
      <c r="K70" s="2">
        <v>23</v>
      </c>
      <c r="L70" s="2" t="s">
        <v>27</v>
      </c>
    </row>
    <row r="71" spans="1:12">
      <c r="A71" s="2" t="s">
        <v>255</v>
      </c>
      <c r="B71" s="2" t="s">
        <v>256</v>
      </c>
      <c r="C71" s="4" t="s">
        <v>23</v>
      </c>
      <c r="D71" s="7">
        <v>5</v>
      </c>
      <c r="E71" s="3">
        <v>45322</v>
      </c>
      <c r="F71" s="2" t="s">
        <v>116</v>
      </c>
      <c r="G71" s="2" t="s">
        <v>99</v>
      </c>
      <c r="H71" s="2" t="s">
        <v>100</v>
      </c>
      <c r="I71" s="2" t="s">
        <v>18</v>
      </c>
      <c r="J71" s="2" t="s">
        <v>39</v>
      </c>
      <c r="K71" s="2">
        <v>35</v>
      </c>
      <c r="L71" s="2" t="s">
        <v>27</v>
      </c>
    </row>
    <row r="75" spans="1:12">
      <c r="B75" s="2"/>
      <c r="C75" s="4"/>
      <c r="D75" s="7"/>
      <c r="E75" s="3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4"/>
      <c r="D76" s="2"/>
      <c r="E76" s="3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4"/>
      <c r="D77" s="2"/>
      <c r="E77" s="3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4"/>
      <c r="D78" s="2"/>
      <c r="E78" s="3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5"/>
      <c r="D79" s="2"/>
      <c r="E79" s="3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4"/>
      <c r="D80" s="2"/>
      <c r="E80" s="3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4"/>
      <c r="D81" s="2"/>
      <c r="E81" s="3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4"/>
      <c r="D82" s="2"/>
      <c r="E82" s="3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4"/>
      <c r="D83" s="2"/>
      <c r="E83" s="3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4"/>
      <c r="D84" s="2"/>
      <c r="E84" s="3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4"/>
      <c r="D85" s="2"/>
      <c r="E85" s="3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4"/>
      <c r="D86" s="2"/>
      <c r="E86" s="3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4"/>
      <c r="D87" s="2"/>
      <c r="E87" s="3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4"/>
      <c r="D88" s="2"/>
      <c r="E88" s="3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4"/>
      <c r="D89" s="2"/>
      <c r="E89" s="3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4"/>
      <c r="D90" s="2"/>
      <c r="E90" s="3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4"/>
      <c r="D91" s="2"/>
      <c r="E91" s="3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4"/>
      <c r="D92" s="2"/>
      <c r="E92" s="3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4"/>
      <c r="D93" s="2"/>
      <c r="E93" s="3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4"/>
      <c r="D94" s="2"/>
      <c r="E94" s="3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4"/>
      <c r="D95" s="2"/>
      <c r="E95" s="3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4"/>
      <c r="D96" s="2"/>
      <c r="E96" s="3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4"/>
      <c r="D97" s="2"/>
      <c r="E97" s="3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4"/>
      <c r="D98" s="2"/>
      <c r="E98" s="3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4"/>
      <c r="D99" s="2"/>
      <c r="E99" s="3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4"/>
      <c r="D100" s="2"/>
      <c r="E100" s="3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4"/>
      <c r="D101" s="2"/>
      <c r="E101" s="3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4"/>
      <c r="D102" s="2"/>
      <c r="E102" s="3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4"/>
      <c r="D103" s="2"/>
      <c r="E103" s="3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4"/>
      <c r="D104" s="2"/>
      <c r="E104" s="3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4"/>
      <c r="D105" s="2"/>
      <c r="E105" s="3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4"/>
      <c r="D106" s="2"/>
      <c r="E106" s="3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4"/>
      <c r="D107" s="2"/>
      <c r="E107" s="3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4"/>
      <c r="D108" s="2"/>
      <c r="E108" s="3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4"/>
      <c r="D109" s="2"/>
      <c r="E109" s="3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4"/>
      <c r="D110" s="2"/>
      <c r="E110" s="3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4"/>
      <c r="D111" s="2"/>
      <c r="E111" s="3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4"/>
      <c r="D112" s="2"/>
      <c r="E112" s="3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4"/>
      <c r="D113" s="2"/>
      <c r="E113" s="3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4"/>
      <c r="D114" s="2"/>
      <c r="E114" s="3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4"/>
      <c r="D115" s="2"/>
      <c r="E115" s="3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4"/>
      <c r="D116" s="2"/>
      <c r="E116" s="3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4"/>
      <c r="D117" s="2"/>
      <c r="E117" s="3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4"/>
      <c r="D118" s="2"/>
      <c r="E118" s="3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4"/>
      <c r="D119" s="2"/>
      <c r="E119" s="3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4"/>
      <c r="D120" s="2"/>
      <c r="E120" s="3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4"/>
      <c r="D121" s="2"/>
      <c r="E121" s="3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4"/>
      <c r="D122" s="2"/>
      <c r="E122" s="3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4"/>
      <c r="D123" s="2"/>
      <c r="E123" s="3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4"/>
      <c r="D124" s="2"/>
      <c r="E124" s="3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4"/>
      <c r="D125" s="2"/>
      <c r="E125" s="3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4"/>
      <c r="D126" s="2"/>
      <c r="E126" s="3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4"/>
      <c r="D127" s="2"/>
      <c r="E127" s="3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4"/>
      <c r="D128" s="2"/>
      <c r="E128" s="3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4"/>
      <c r="D129" s="2"/>
      <c r="E129" s="3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4"/>
      <c r="D130" s="2"/>
      <c r="E130" s="3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4"/>
      <c r="D131" s="2"/>
      <c r="E131" s="3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4"/>
      <c r="D132" s="2"/>
      <c r="E132" s="3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4"/>
      <c r="D133" s="2"/>
      <c r="E133" s="3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4"/>
      <c r="D134" s="2"/>
      <c r="E134" s="3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4"/>
      <c r="D135" s="2"/>
      <c r="E135" s="3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4"/>
      <c r="D136" s="2"/>
      <c r="E136" s="3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4"/>
      <c r="D137" s="2"/>
      <c r="E137" s="3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4"/>
      <c r="D138" s="2"/>
      <c r="E138" s="3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4"/>
      <c r="D139" s="2"/>
      <c r="E139" s="3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4"/>
      <c r="D140" s="2"/>
      <c r="E140" s="3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4"/>
      <c r="D141" s="2"/>
      <c r="E141" s="3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4"/>
      <c r="D142" s="2"/>
      <c r="E142" s="3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4"/>
      <c r="D143" s="2"/>
      <c r="E143" s="3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4"/>
      <c r="D144" s="2"/>
      <c r="E144" s="3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4"/>
      <c r="D145" s="2"/>
      <c r="E145" s="3"/>
      <c r="F145" s="2"/>
      <c r="G145" s="2"/>
      <c r="H145" s="2"/>
      <c r="I145" s="2"/>
      <c r="J145" s="2"/>
      <c r="K145" s="2"/>
      <c r="L145" s="2"/>
    </row>
  </sheetData>
  <conditionalFormatting sqref="A2:L71">
    <cfRule type="expression" dxfId="0" priority="1">
      <formula>$C2="Neutral"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7E28-3C56-459E-A6B6-F8E024CAF92B}">
  <dimension ref="A1:L144"/>
  <sheetViews>
    <sheetView topLeftCell="A93" workbookViewId="0">
      <selection activeCell="C14" sqref="C14"/>
    </sheetView>
  </sheetViews>
  <sheetFormatPr defaultRowHeight="15" outlineLevelRow="1"/>
  <cols>
    <col min="1" max="12" width="23.85546875" customWidth="1"/>
  </cols>
  <sheetData>
    <row r="1" spans="1:12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4" t="s">
        <v>14</v>
      </c>
      <c r="D2" s="2">
        <v>8</v>
      </c>
      <c r="E2" s="3">
        <v>45292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14</v>
      </c>
      <c r="L2" s="2" t="s">
        <v>20</v>
      </c>
    </row>
    <row r="3" spans="1:12">
      <c r="A3" s="2" t="s">
        <v>21</v>
      </c>
      <c r="B3" s="2" t="s">
        <v>22</v>
      </c>
      <c r="C3" s="4" t="s">
        <v>23</v>
      </c>
      <c r="D3" s="2">
        <v>5</v>
      </c>
      <c r="E3" s="3">
        <v>45292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>
        <v>32</v>
      </c>
      <c r="L3" s="2" t="s">
        <v>27</v>
      </c>
    </row>
    <row r="4" spans="1:12">
      <c r="A4" s="2" t="s">
        <v>28</v>
      </c>
      <c r="B4" s="2" t="s">
        <v>29</v>
      </c>
      <c r="C4" s="4" t="s">
        <v>23</v>
      </c>
      <c r="D4" s="2">
        <v>3</v>
      </c>
      <c r="E4" s="3">
        <v>45293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19</v>
      </c>
      <c r="K4" s="2">
        <v>6</v>
      </c>
      <c r="L4" s="2" t="s">
        <v>32</v>
      </c>
    </row>
    <row r="5" spans="1:12" ht="15.75" customHeight="1">
      <c r="A5" s="2" t="s">
        <v>33</v>
      </c>
      <c r="B5" s="2" t="s">
        <v>34</v>
      </c>
      <c r="C5" s="5" t="s">
        <v>35</v>
      </c>
      <c r="D5" s="2">
        <v>4</v>
      </c>
      <c r="E5" s="3">
        <v>45293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>
        <v>26</v>
      </c>
      <c r="L5" s="2" t="s">
        <v>27</v>
      </c>
    </row>
    <row r="6" spans="1:12">
      <c r="A6" s="2" t="s">
        <v>40</v>
      </c>
      <c r="B6" s="2" t="s">
        <v>41</v>
      </c>
      <c r="C6" s="4" t="s">
        <v>42</v>
      </c>
      <c r="D6" s="2">
        <v>8</v>
      </c>
      <c r="E6" s="3">
        <v>45293</v>
      </c>
      <c r="F6" s="2" t="s">
        <v>15</v>
      </c>
      <c r="G6" s="2" t="s">
        <v>43</v>
      </c>
      <c r="H6" s="2" t="s">
        <v>44</v>
      </c>
      <c r="I6" s="2" t="s">
        <v>45</v>
      </c>
      <c r="J6" s="2" t="s">
        <v>19</v>
      </c>
      <c r="K6" s="2">
        <v>26</v>
      </c>
      <c r="L6" s="2" t="s">
        <v>27</v>
      </c>
    </row>
    <row r="7" spans="1:12">
      <c r="A7" s="2" t="s">
        <v>46</v>
      </c>
      <c r="B7" s="2" t="s">
        <v>47</v>
      </c>
      <c r="C7" s="4" t="s">
        <v>35</v>
      </c>
      <c r="D7" s="2">
        <v>4</v>
      </c>
      <c r="E7" s="3">
        <v>45294</v>
      </c>
      <c r="F7" s="2" t="s">
        <v>15</v>
      </c>
      <c r="G7" s="2" t="s">
        <v>16</v>
      </c>
      <c r="H7" s="2" t="s">
        <v>48</v>
      </c>
      <c r="I7" s="2" t="s">
        <v>45</v>
      </c>
      <c r="J7" s="2" t="s">
        <v>19</v>
      </c>
      <c r="K7" s="2">
        <v>6</v>
      </c>
      <c r="L7" s="2" t="s">
        <v>49</v>
      </c>
    </row>
    <row r="8" spans="1:12">
      <c r="A8" s="2" t="s">
        <v>50</v>
      </c>
      <c r="B8" s="2" t="s">
        <v>51</v>
      </c>
      <c r="C8" s="4" t="s">
        <v>52</v>
      </c>
      <c r="D8" s="2">
        <v>10</v>
      </c>
      <c r="E8" s="3">
        <v>45294</v>
      </c>
      <c r="F8" s="2" t="s">
        <v>53</v>
      </c>
      <c r="G8" s="2" t="s">
        <v>54</v>
      </c>
      <c r="H8" s="2" t="s">
        <v>37</v>
      </c>
      <c r="I8" s="2" t="s">
        <v>26</v>
      </c>
      <c r="J8" s="2" t="s">
        <v>19</v>
      </c>
      <c r="K8" s="2">
        <v>9</v>
      </c>
      <c r="L8" s="2" t="s">
        <v>27</v>
      </c>
    </row>
    <row r="9" spans="1:12">
      <c r="A9" s="2" t="s">
        <v>55</v>
      </c>
      <c r="B9" s="2" t="s">
        <v>56</v>
      </c>
      <c r="C9" s="4" t="s">
        <v>23</v>
      </c>
      <c r="D9" s="2">
        <v>3</v>
      </c>
      <c r="E9" s="3">
        <v>45295</v>
      </c>
      <c r="F9" s="2" t="s">
        <v>15</v>
      </c>
      <c r="G9" s="2" t="s">
        <v>57</v>
      </c>
      <c r="H9" s="2" t="s">
        <v>58</v>
      </c>
      <c r="I9" s="2" t="s">
        <v>26</v>
      </c>
      <c r="J9" s="2" t="s">
        <v>19</v>
      </c>
      <c r="K9" s="2">
        <v>15</v>
      </c>
      <c r="L9" s="2" t="s">
        <v>49</v>
      </c>
    </row>
    <row r="10" spans="1:12">
      <c r="A10" s="2" t="s">
        <v>59</v>
      </c>
      <c r="B10" s="2" t="s">
        <v>60</v>
      </c>
      <c r="C10" s="4" t="s">
        <v>23</v>
      </c>
      <c r="D10" s="2">
        <v>3</v>
      </c>
      <c r="E10" s="3">
        <v>45295</v>
      </c>
      <c r="F10" s="2" t="s">
        <v>15</v>
      </c>
      <c r="G10" s="2" t="s">
        <v>61</v>
      </c>
      <c r="H10" s="2" t="s">
        <v>62</v>
      </c>
      <c r="I10" s="2" t="s">
        <v>45</v>
      </c>
      <c r="J10" s="2" t="s">
        <v>19</v>
      </c>
      <c r="K10" s="2">
        <v>12</v>
      </c>
      <c r="L10" s="2" t="s">
        <v>27</v>
      </c>
    </row>
    <row r="11" spans="1:12">
      <c r="A11" s="2" t="s">
        <v>63</v>
      </c>
      <c r="B11" s="2" t="s">
        <v>64</v>
      </c>
      <c r="C11" s="4" t="s">
        <v>23</v>
      </c>
      <c r="D11" s="2">
        <v>6</v>
      </c>
      <c r="E11" s="3">
        <v>45296</v>
      </c>
      <c r="F11" s="2" t="s">
        <v>15</v>
      </c>
      <c r="G11" s="2" t="s">
        <v>65</v>
      </c>
      <c r="H11" s="2" t="s">
        <v>31</v>
      </c>
      <c r="I11" s="2" t="s">
        <v>45</v>
      </c>
      <c r="J11" s="2" t="s">
        <v>19</v>
      </c>
      <c r="K11" s="2">
        <v>42</v>
      </c>
      <c r="L11" s="2" t="s">
        <v>27</v>
      </c>
    </row>
    <row r="12" spans="1:12">
      <c r="A12" s="2" t="s">
        <v>66</v>
      </c>
      <c r="B12" s="2" t="s">
        <v>67</v>
      </c>
      <c r="C12" s="4" t="s">
        <v>23</v>
      </c>
      <c r="D12" s="2">
        <v>3</v>
      </c>
      <c r="E12" s="3">
        <v>45296</v>
      </c>
      <c r="F12" s="2" t="s">
        <v>15</v>
      </c>
      <c r="G12" s="2" t="s">
        <v>68</v>
      </c>
      <c r="H12" s="2" t="s">
        <v>69</v>
      </c>
      <c r="I12" s="2" t="s">
        <v>18</v>
      </c>
      <c r="J12" s="2" t="s">
        <v>70</v>
      </c>
      <c r="K12" s="2">
        <v>44</v>
      </c>
      <c r="L12" s="2" t="s">
        <v>49</v>
      </c>
    </row>
    <row r="13" spans="1:12">
      <c r="A13" s="2" t="s">
        <v>71</v>
      </c>
      <c r="B13" s="2" t="s">
        <v>72</v>
      </c>
      <c r="C13" s="4" t="s">
        <v>14</v>
      </c>
      <c r="D13" s="2">
        <v>7</v>
      </c>
      <c r="E13" s="3">
        <v>45297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19</v>
      </c>
      <c r="K13" s="2">
        <v>29</v>
      </c>
      <c r="L13" s="2" t="s">
        <v>49</v>
      </c>
    </row>
    <row r="14" spans="1:12">
      <c r="A14" s="2" t="s">
        <v>74</v>
      </c>
      <c r="B14" s="2" t="s">
        <v>75</v>
      </c>
      <c r="C14" s="4" t="s">
        <v>23</v>
      </c>
      <c r="D14" s="2">
        <v>5</v>
      </c>
      <c r="E14" s="3">
        <v>45297</v>
      </c>
      <c r="F14" s="2" t="s">
        <v>15</v>
      </c>
      <c r="G14" s="2" t="s">
        <v>76</v>
      </c>
      <c r="H14" s="2" t="s">
        <v>77</v>
      </c>
      <c r="I14" s="2" t="s">
        <v>18</v>
      </c>
      <c r="J14" s="2" t="s">
        <v>19</v>
      </c>
      <c r="K14" s="2">
        <v>35</v>
      </c>
      <c r="L14" s="2" t="s">
        <v>49</v>
      </c>
    </row>
    <row r="15" spans="1:12">
      <c r="A15" s="2" t="s">
        <v>78</v>
      </c>
      <c r="B15" s="2" t="s">
        <v>79</v>
      </c>
      <c r="C15" s="4" t="s">
        <v>35</v>
      </c>
      <c r="D15" s="2">
        <v>2</v>
      </c>
      <c r="E15" s="3">
        <v>45298</v>
      </c>
      <c r="F15" s="2" t="s">
        <v>15</v>
      </c>
      <c r="G15" s="2" t="s">
        <v>80</v>
      </c>
      <c r="H15" s="2" t="s">
        <v>81</v>
      </c>
      <c r="I15" s="2" t="s">
        <v>45</v>
      </c>
      <c r="J15" s="2" t="s">
        <v>19</v>
      </c>
      <c r="K15" s="2">
        <v>30</v>
      </c>
      <c r="L15" s="2" t="s">
        <v>27</v>
      </c>
    </row>
    <row r="16" spans="1:12">
      <c r="A16" s="2" t="s">
        <v>82</v>
      </c>
      <c r="B16" s="2" t="s">
        <v>83</v>
      </c>
      <c r="C16" s="4" t="s">
        <v>23</v>
      </c>
      <c r="D16" s="2">
        <v>6</v>
      </c>
      <c r="E16" s="3">
        <v>45298</v>
      </c>
      <c r="F16" s="2" t="s">
        <v>53</v>
      </c>
      <c r="G16" s="2" t="s">
        <v>84</v>
      </c>
      <c r="H16" s="2" t="s">
        <v>85</v>
      </c>
      <c r="I16" s="2" t="s">
        <v>26</v>
      </c>
      <c r="J16" s="2" t="s">
        <v>19</v>
      </c>
      <c r="K16" s="2">
        <v>29</v>
      </c>
      <c r="L16" s="2" t="s">
        <v>27</v>
      </c>
    </row>
    <row r="17" spans="1:12">
      <c r="A17" s="2" t="s">
        <v>86</v>
      </c>
      <c r="B17" s="2" t="s">
        <v>87</v>
      </c>
      <c r="C17" s="4" t="s">
        <v>42</v>
      </c>
      <c r="D17" s="2">
        <v>9</v>
      </c>
      <c r="E17" s="3">
        <v>45299</v>
      </c>
      <c r="F17" s="2" t="s">
        <v>53</v>
      </c>
      <c r="G17" s="2" t="s">
        <v>88</v>
      </c>
      <c r="H17" s="2" t="s">
        <v>69</v>
      </c>
      <c r="I17" s="2" t="s">
        <v>26</v>
      </c>
      <c r="J17" s="2" t="s">
        <v>19</v>
      </c>
      <c r="K17" s="2">
        <v>9</v>
      </c>
      <c r="L17" s="2" t="s">
        <v>49</v>
      </c>
    </row>
    <row r="18" spans="1:12">
      <c r="A18" s="2" t="s">
        <v>89</v>
      </c>
      <c r="B18" s="2" t="s">
        <v>90</v>
      </c>
      <c r="C18" s="4" t="s">
        <v>52</v>
      </c>
      <c r="D18" s="2">
        <v>9</v>
      </c>
      <c r="E18" s="3">
        <v>45299</v>
      </c>
      <c r="F18" s="2" t="s">
        <v>15</v>
      </c>
      <c r="G18" s="2" t="s">
        <v>91</v>
      </c>
      <c r="H18" s="2" t="s">
        <v>92</v>
      </c>
      <c r="I18" s="2" t="s">
        <v>18</v>
      </c>
      <c r="J18" s="2" t="s">
        <v>19</v>
      </c>
      <c r="K18" s="2">
        <v>8</v>
      </c>
      <c r="L18" s="2" t="s">
        <v>27</v>
      </c>
    </row>
    <row r="19" spans="1:12">
      <c r="A19" s="2" t="s">
        <v>93</v>
      </c>
      <c r="B19" s="2" t="s">
        <v>94</v>
      </c>
      <c r="C19" s="4" t="s">
        <v>35</v>
      </c>
      <c r="D19" s="2">
        <v>3</v>
      </c>
      <c r="E19" s="3">
        <v>45299</v>
      </c>
      <c r="F19" s="2" t="s">
        <v>15</v>
      </c>
      <c r="G19" s="2" t="s">
        <v>95</v>
      </c>
      <c r="H19" s="2" t="s">
        <v>96</v>
      </c>
      <c r="I19" s="2" t="s">
        <v>18</v>
      </c>
      <c r="J19" s="2" t="s">
        <v>70</v>
      </c>
      <c r="K19" s="2">
        <v>35</v>
      </c>
      <c r="L19" s="2" t="s">
        <v>20</v>
      </c>
    </row>
    <row r="20" spans="1:12">
      <c r="A20" s="2" t="s">
        <v>97</v>
      </c>
      <c r="B20" s="2" t="s">
        <v>98</v>
      </c>
      <c r="C20" s="4" t="s">
        <v>42</v>
      </c>
      <c r="D20" s="2">
        <v>7</v>
      </c>
      <c r="E20" s="3">
        <v>45299</v>
      </c>
      <c r="F20" s="2" t="s">
        <v>15</v>
      </c>
      <c r="G20" s="2" t="s">
        <v>99</v>
      </c>
      <c r="H20" s="2" t="s">
        <v>100</v>
      </c>
      <c r="I20" s="2" t="s">
        <v>45</v>
      </c>
      <c r="J20" s="2" t="s">
        <v>19</v>
      </c>
      <c r="K20" s="2">
        <v>20</v>
      </c>
      <c r="L20" s="2" t="s">
        <v>49</v>
      </c>
    </row>
    <row r="21" spans="1:12">
      <c r="A21" s="2" t="s">
        <v>101</v>
      </c>
      <c r="B21" s="2" t="s">
        <v>102</v>
      </c>
      <c r="C21" s="4" t="s">
        <v>23</v>
      </c>
      <c r="D21" s="2">
        <v>3</v>
      </c>
      <c r="E21" s="3">
        <v>45300</v>
      </c>
      <c r="F21" s="2" t="s">
        <v>15</v>
      </c>
      <c r="G21" s="2" t="s">
        <v>103</v>
      </c>
      <c r="H21" s="2" t="s">
        <v>104</v>
      </c>
      <c r="I21" s="2" t="s">
        <v>45</v>
      </c>
      <c r="J21" s="2" t="s">
        <v>19</v>
      </c>
      <c r="K21" s="2">
        <v>31</v>
      </c>
      <c r="L21" s="2" t="s">
        <v>27</v>
      </c>
    </row>
    <row r="22" spans="1:12">
      <c r="A22" s="2" t="s">
        <v>105</v>
      </c>
      <c r="B22" s="2" t="s">
        <v>106</v>
      </c>
      <c r="C22" s="4" t="s">
        <v>14</v>
      </c>
      <c r="D22" s="2">
        <v>5</v>
      </c>
      <c r="E22" s="3">
        <v>45300</v>
      </c>
      <c r="F22" s="2" t="s">
        <v>15</v>
      </c>
      <c r="G22" s="2" t="s">
        <v>107</v>
      </c>
      <c r="H22" s="2" t="s">
        <v>37</v>
      </c>
      <c r="I22" s="2" t="s">
        <v>38</v>
      </c>
      <c r="J22" s="2" t="s">
        <v>39</v>
      </c>
      <c r="K22" s="2">
        <v>39</v>
      </c>
      <c r="L22" s="2" t="s">
        <v>27</v>
      </c>
    </row>
    <row r="23" spans="1:12">
      <c r="A23" s="2" t="s">
        <v>108</v>
      </c>
      <c r="B23" s="2" t="s">
        <v>109</v>
      </c>
      <c r="C23" s="4" t="s">
        <v>23</v>
      </c>
      <c r="D23" s="2">
        <v>3</v>
      </c>
      <c r="E23" s="3">
        <v>45301</v>
      </c>
      <c r="F23" s="2" t="s">
        <v>15</v>
      </c>
      <c r="G23" s="2" t="s">
        <v>110</v>
      </c>
      <c r="H23" s="2" t="s">
        <v>31</v>
      </c>
      <c r="I23" s="2" t="s">
        <v>26</v>
      </c>
      <c r="J23" s="2" t="s">
        <v>19</v>
      </c>
      <c r="K23" s="2">
        <v>38</v>
      </c>
      <c r="L23" s="2" t="s">
        <v>32</v>
      </c>
    </row>
    <row r="24" spans="1:12">
      <c r="A24" s="2" t="s">
        <v>111</v>
      </c>
      <c r="B24" s="2" t="s">
        <v>112</v>
      </c>
      <c r="C24" s="4" t="s">
        <v>23</v>
      </c>
      <c r="D24" s="2">
        <v>4</v>
      </c>
      <c r="E24" s="3">
        <v>45301</v>
      </c>
      <c r="F24" s="2" t="s">
        <v>15</v>
      </c>
      <c r="G24" s="2" t="s">
        <v>113</v>
      </c>
      <c r="H24" s="2" t="s">
        <v>69</v>
      </c>
      <c r="I24" s="2" t="s">
        <v>26</v>
      </c>
      <c r="J24" s="2" t="s">
        <v>70</v>
      </c>
      <c r="K24" s="2">
        <v>44</v>
      </c>
      <c r="L24" s="2" t="s">
        <v>32</v>
      </c>
    </row>
    <row r="25" spans="1:12">
      <c r="A25" s="2" t="s">
        <v>114</v>
      </c>
      <c r="B25" s="2" t="s">
        <v>115</v>
      </c>
      <c r="C25" s="4" t="s">
        <v>35</v>
      </c>
      <c r="D25" s="2">
        <v>4</v>
      </c>
      <c r="E25" s="3">
        <v>45302</v>
      </c>
      <c r="F25" s="2" t="s">
        <v>116</v>
      </c>
      <c r="G25" s="2" t="s">
        <v>117</v>
      </c>
      <c r="H25" s="2" t="s">
        <v>31</v>
      </c>
      <c r="I25" s="2" t="s">
        <v>18</v>
      </c>
      <c r="J25" s="2" t="s">
        <v>19</v>
      </c>
      <c r="K25" s="2">
        <v>41</v>
      </c>
      <c r="L25" s="2" t="s">
        <v>20</v>
      </c>
    </row>
    <row r="26" spans="1:12">
      <c r="A26" s="2" t="s">
        <v>118</v>
      </c>
      <c r="B26" s="2" t="s">
        <v>119</v>
      </c>
      <c r="C26" s="4" t="s">
        <v>35</v>
      </c>
      <c r="D26" s="2">
        <v>4</v>
      </c>
      <c r="E26" s="3">
        <v>45302</v>
      </c>
      <c r="F26" s="2" t="s">
        <v>15</v>
      </c>
      <c r="G26" s="2" t="s">
        <v>120</v>
      </c>
      <c r="H26" s="2" t="s">
        <v>121</v>
      </c>
      <c r="I26" s="2" t="s">
        <v>18</v>
      </c>
      <c r="J26" s="2" t="s">
        <v>19</v>
      </c>
      <c r="K26" s="2">
        <v>7</v>
      </c>
      <c r="L26" s="2" t="s">
        <v>49</v>
      </c>
    </row>
    <row r="27" spans="1:12">
      <c r="A27" s="2" t="s">
        <v>122</v>
      </c>
      <c r="B27" s="2" t="s">
        <v>123</v>
      </c>
      <c r="C27" s="4" t="s">
        <v>35</v>
      </c>
      <c r="D27" s="2">
        <v>4</v>
      </c>
      <c r="E27" s="3">
        <v>45303</v>
      </c>
      <c r="F27" s="2" t="s">
        <v>15</v>
      </c>
      <c r="G27" s="2" t="s">
        <v>124</v>
      </c>
      <c r="H27" s="2" t="s">
        <v>125</v>
      </c>
      <c r="I27" s="2" t="s">
        <v>38</v>
      </c>
      <c r="J27" s="2" t="s">
        <v>19</v>
      </c>
      <c r="K27" s="2">
        <v>34</v>
      </c>
      <c r="L27" s="2" t="s">
        <v>27</v>
      </c>
    </row>
    <row r="28" spans="1:12">
      <c r="A28" s="2" t="s">
        <v>126</v>
      </c>
      <c r="B28" s="2" t="s">
        <v>127</v>
      </c>
      <c r="C28" s="4" t="s">
        <v>52</v>
      </c>
      <c r="D28" s="2">
        <v>10</v>
      </c>
      <c r="E28" s="3">
        <v>45303</v>
      </c>
      <c r="F28" s="2" t="s">
        <v>15</v>
      </c>
      <c r="G28" s="2" t="s">
        <v>128</v>
      </c>
      <c r="H28" s="2" t="s">
        <v>31</v>
      </c>
      <c r="I28" s="2" t="s">
        <v>45</v>
      </c>
      <c r="J28" s="2" t="s">
        <v>39</v>
      </c>
      <c r="K28" s="2">
        <v>36</v>
      </c>
      <c r="L28" s="2" t="s">
        <v>27</v>
      </c>
    </row>
    <row r="29" spans="1:12">
      <c r="A29" s="2" t="s">
        <v>129</v>
      </c>
      <c r="B29" s="2" t="s">
        <v>130</v>
      </c>
      <c r="C29" s="4" t="s">
        <v>14</v>
      </c>
      <c r="D29" s="2">
        <v>8</v>
      </c>
      <c r="E29" s="3">
        <v>45304</v>
      </c>
      <c r="F29" s="2" t="s">
        <v>15</v>
      </c>
      <c r="G29" s="2" t="s">
        <v>131</v>
      </c>
      <c r="H29" s="2" t="s">
        <v>37</v>
      </c>
      <c r="I29" s="2" t="s">
        <v>26</v>
      </c>
      <c r="J29" s="2" t="s">
        <v>19</v>
      </c>
      <c r="K29" s="2">
        <v>9</v>
      </c>
      <c r="L29" s="2" t="s">
        <v>20</v>
      </c>
    </row>
    <row r="30" spans="1:12">
      <c r="A30" s="2" t="s">
        <v>132</v>
      </c>
      <c r="B30" s="2" t="s">
        <v>133</v>
      </c>
      <c r="C30" s="4" t="s">
        <v>23</v>
      </c>
      <c r="D30" s="2">
        <v>6</v>
      </c>
      <c r="E30" s="3">
        <v>45304</v>
      </c>
      <c r="F30" s="2" t="s">
        <v>15</v>
      </c>
      <c r="G30" s="2" t="s">
        <v>134</v>
      </c>
      <c r="H30" s="2" t="s">
        <v>135</v>
      </c>
      <c r="I30" s="2" t="s">
        <v>26</v>
      </c>
      <c r="J30" s="2" t="s">
        <v>19</v>
      </c>
      <c r="K30" s="2">
        <v>39</v>
      </c>
      <c r="L30" s="2" t="s">
        <v>49</v>
      </c>
    </row>
    <row r="31" spans="1:12">
      <c r="A31" s="2" t="s">
        <v>136</v>
      </c>
      <c r="B31" s="2" t="s">
        <v>137</v>
      </c>
      <c r="C31" s="4" t="s">
        <v>42</v>
      </c>
      <c r="D31" s="2">
        <v>7</v>
      </c>
      <c r="E31" s="3">
        <v>45305</v>
      </c>
      <c r="F31" s="2" t="s">
        <v>15</v>
      </c>
      <c r="G31" s="2" t="s">
        <v>138</v>
      </c>
      <c r="H31" s="2" t="s">
        <v>37</v>
      </c>
      <c r="I31" s="2" t="s">
        <v>38</v>
      </c>
      <c r="J31" s="2" t="s">
        <v>19</v>
      </c>
      <c r="K31" s="2">
        <v>17</v>
      </c>
      <c r="L31" s="2" t="s">
        <v>27</v>
      </c>
    </row>
    <row r="32" spans="1:12">
      <c r="A32" s="2" t="s">
        <v>139</v>
      </c>
      <c r="B32" s="2" t="s">
        <v>140</v>
      </c>
      <c r="C32" s="4" t="s">
        <v>52</v>
      </c>
      <c r="D32" s="2">
        <v>10</v>
      </c>
      <c r="E32" s="3">
        <v>45305</v>
      </c>
      <c r="F32" s="2" t="s">
        <v>15</v>
      </c>
      <c r="G32" s="2" t="s">
        <v>141</v>
      </c>
      <c r="H32" s="2" t="s">
        <v>77</v>
      </c>
      <c r="I32" s="2" t="s">
        <v>45</v>
      </c>
      <c r="J32" s="2" t="s">
        <v>19</v>
      </c>
      <c r="K32" s="2">
        <v>26</v>
      </c>
      <c r="L32" s="2" t="s">
        <v>27</v>
      </c>
    </row>
    <row r="33" spans="1:12">
      <c r="A33" s="2" t="s">
        <v>142</v>
      </c>
      <c r="B33" s="2" t="s">
        <v>143</v>
      </c>
      <c r="C33" s="4" t="s">
        <v>14</v>
      </c>
      <c r="D33" s="2">
        <v>6</v>
      </c>
      <c r="E33" s="3">
        <v>45306</v>
      </c>
      <c r="F33" s="2" t="s">
        <v>116</v>
      </c>
      <c r="G33" s="2" t="s">
        <v>144</v>
      </c>
      <c r="H33" s="2" t="s">
        <v>31</v>
      </c>
      <c r="I33" s="2" t="s">
        <v>18</v>
      </c>
      <c r="J33" s="2" t="s">
        <v>39</v>
      </c>
      <c r="K33" s="2">
        <v>35</v>
      </c>
      <c r="L33" s="2" t="s">
        <v>49</v>
      </c>
    </row>
    <row r="34" spans="1:12">
      <c r="A34" s="2" t="s">
        <v>145</v>
      </c>
      <c r="B34" s="2" t="s">
        <v>146</v>
      </c>
      <c r="C34" s="4" t="s">
        <v>23</v>
      </c>
      <c r="D34" s="2">
        <v>5</v>
      </c>
      <c r="E34" s="3">
        <v>45306</v>
      </c>
      <c r="F34" s="2" t="s">
        <v>53</v>
      </c>
      <c r="G34" s="2" t="s">
        <v>147</v>
      </c>
      <c r="H34" s="2" t="s">
        <v>121</v>
      </c>
      <c r="I34" s="2" t="s">
        <v>26</v>
      </c>
      <c r="J34" s="2" t="s">
        <v>39</v>
      </c>
      <c r="K34" s="2">
        <v>25</v>
      </c>
      <c r="L34" s="2" t="s">
        <v>20</v>
      </c>
    </row>
    <row r="35" spans="1:12">
      <c r="A35" s="2" t="s">
        <v>148</v>
      </c>
      <c r="B35" s="2" t="s">
        <v>149</v>
      </c>
      <c r="C35" s="4" t="s">
        <v>23</v>
      </c>
      <c r="D35" s="2">
        <v>3</v>
      </c>
      <c r="E35" s="3">
        <v>45307</v>
      </c>
      <c r="F35" s="2" t="s">
        <v>116</v>
      </c>
      <c r="G35" s="2" t="s">
        <v>120</v>
      </c>
      <c r="H35" s="2" t="s">
        <v>121</v>
      </c>
      <c r="I35" s="2" t="s">
        <v>18</v>
      </c>
      <c r="J35" s="2" t="s">
        <v>19</v>
      </c>
      <c r="K35" s="2">
        <v>35</v>
      </c>
      <c r="L35" s="2" t="s">
        <v>20</v>
      </c>
    </row>
    <row r="36" spans="1:12">
      <c r="A36" s="2" t="s">
        <v>150</v>
      </c>
      <c r="B36" s="2" t="s">
        <v>151</v>
      </c>
      <c r="C36" s="4" t="s">
        <v>23</v>
      </c>
      <c r="D36" s="2">
        <v>3</v>
      </c>
      <c r="E36" s="3">
        <v>45307</v>
      </c>
      <c r="F36" s="2" t="s">
        <v>15</v>
      </c>
      <c r="G36" s="2" t="s">
        <v>152</v>
      </c>
      <c r="H36" s="2" t="s">
        <v>31</v>
      </c>
      <c r="I36" s="2" t="s">
        <v>26</v>
      </c>
      <c r="J36" s="2" t="s">
        <v>19</v>
      </c>
      <c r="K36" s="2">
        <v>38</v>
      </c>
      <c r="L36" s="2" t="s">
        <v>49</v>
      </c>
    </row>
    <row r="37" spans="1:12">
      <c r="A37" s="2" t="s">
        <v>153</v>
      </c>
      <c r="B37" s="2" t="s">
        <v>154</v>
      </c>
      <c r="C37" s="4" t="s">
        <v>23</v>
      </c>
      <c r="D37" s="2">
        <v>3</v>
      </c>
      <c r="E37" s="3">
        <v>45308</v>
      </c>
      <c r="F37" s="2" t="s">
        <v>15</v>
      </c>
      <c r="G37" s="2" t="s">
        <v>155</v>
      </c>
      <c r="H37" s="2" t="s">
        <v>156</v>
      </c>
      <c r="I37" s="2" t="s">
        <v>45</v>
      </c>
      <c r="J37" s="2" t="s">
        <v>39</v>
      </c>
      <c r="K37" s="2">
        <v>14</v>
      </c>
      <c r="L37" s="2" t="s">
        <v>27</v>
      </c>
    </row>
    <row r="38" spans="1:12">
      <c r="A38" s="2" t="s">
        <v>157</v>
      </c>
      <c r="B38" s="2" t="s">
        <v>158</v>
      </c>
      <c r="C38" s="4" t="s">
        <v>23</v>
      </c>
      <c r="D38" s="2">
        <v>6</v>
      </c>
      <c r="E38" s="3">
        <v>45308</v>
      </c>
      <c r="F38" s="2" t="s">
        <v>15</v>
      </c>
      <c r="G38" s="2" t="s">
        <v>68</v>
      </c>
      <c r="H38" s="2" t="s">
        <v>69</v>
      </c>
      <c r="I38" s="2" t="s">
        <v>45</v>
      </c>
      <c r="J38" s="2" t="s">
        <v>19</v>
      </c>
      <c r="K38" s="2">
        <v>43</v>
      </c>
      <c r="L38" s="2" t="s">
        <v>27</v>
      </c>
    </row>
    <row r="39" spans="1:12">
      <c r="A39" s="2" t="s">
        <v>159</v>
      </c>
      <c r="B39" s="2" t="s">
        <v>160</v>
      </c>
      <c r="C39" s="4" t="s">
        <v>52</v>
      </c>
      <c r="D39" s="2">
        <v>9</v>
      </c>
      <c r="E39" s="3">
        <v>45309</v>
      </c>
      <c r="F39" s="2" t="s">
        <v>15</v>
      </c>
      <c r="G39" s="2" t="s">
        <v>161</v>
      </c>
      <c r="H39" s="2" t="s">
        <v>69</v>
      </c>
      <c r="I39" s="2" t="s">
        <v>26</v>
      </c>
      <c r="J39" s="2" t="s">
        <v>19</v>
      </c>
      <c r="K39" s="2">
        <v>43</v>
      </c>
      <c r="L39" s="2" t="s">
        <v>27</v>
      </c>
    </row>
    <row r="40" spans="1:12">
      <c r="A40" s="2" t="s">
        <v>162</v>
      </c>
      <c r="B40" s="2" t="s">
        <v>163</v>
      </c>
      <c r="C40" s="4" t="s">
        <v>14</v>
      </c>
      <c r="D40" s="2">
        <v>6</v>
      </c>
      <c r="E40" s="3">
        <v>45309</v>
      </c>
      <c r="F40" s="2" t="s">
        <v>15</v>
      </c>
      <c r="G40" s="2" t="s">
        <v>164</v>
      </c>
      <c r="H40" s="2" t="s">
        <v>44</v>
      </c>
      <c r="I40" s="2" t="s">
        <v>45</v>
      </c>
      <c r="J40" s="2" t="s">
        <v>19</v>
      </c>
      <c r="K40" s="2">
        <v>6</v>
      </c>
      <c r="L40" s="2" t="s">
        <v>49</v>
      </c>
    </row>
    <row r="41" spans="1:12">
      <c r="A41" s="2" t="s">
        <v>165</v>
      </c>
      <c r="B41" s="2" t="s">
        <v>166</v>
      </c>
      <c r="C41" s="4" t="s">
        <v>42</v>
      </c>
      <c r="D41" s="2">
        <v>7</v>
      </c>
      <c r="E41" s="3">
        <v>45310</v>
      </c>
      <c r="F41" s="2" t="s">
        <v>15</v>
      </c>
      <c r="G41" s="2" t="s">
        <v>167</v>
      </c>
      <c r="H41" s="2" t="s">
        <v>168</v>
      </c>
      <c r="I41" s="2" t="s">
        <v>38</v>
      </c>
      <c r="J41" s="2" t="s">
        <v>39</v>
      </c>
      <c r="K41" s="2">
        <v>41</v>
      </c>
      <c r="L41" s="2" t="s">
        <v>27</v>
      </c>
    </row>
    <row r="42" spans="1:12">
      <c r="A42" s="2" t="s">
        <v>169</v>
      </c>
      <c r="B42" s="2" t="s">
        <v>170</v>
      </c>
      <c r="C42" s="4" t="s">
        <v>23</v>
      </c>
      <c r="D42" s="2">
        <v>4</v>
      </c>
      <c r="E42" s="3">
        <v>45310</v>
      </c>
      <c r="F42" s="2" t="s">
        <v>53</v>
      </c>
      <c r="G42" s="2" t="s">
        <v>171</v>
      </c>
      <c r="H42" s="2" t="s">
        <v>172</v>
      </c>
      <c r="I42" s="2" t="s">
        <v>26</v>
      </c>
      <c r="J42" s="2" t="s">
        <v>19</v>
      </c>
      <c r="K42" s="2">
        <v>27</v>
      </c>
      <c r="L42" s="2" t="s">
        <v>49</v>
      </c>
    </row>
    <row r="43" spans="1:12">
      <c r="A43" s="2" t="s">
        <v>173</v>
      </c>
      <c r="B43" s="2" t="s">
        <v>174</v>
      </c>
      <c r="C43" s="4" t="s">
        <v>42</v>
      </c>
      <c r="D43" s="2">
        <v>7</v>
      </c>
      <c r="E43" s="3">
        <v>45311</v>
      </c>
      <c r="F43" s="2" t="s">
        <v>53</v>
      </c>
      <c r="G43" s="2" t="s">
        <v>175</v>
      </c>
      <c r="H43" s="2" t="s">
        <v>77</v>
      </c>
      <c r="I43" s="2" t="s">
        <v>26</v>
      </c>
      <c r="J43" s="2" t="s">
        <v>19</v>
      </c>
      <c r="K43" s="2">
        <v>9</v>
      </c>
      <c r="L43" s="2" t="s">
        <v>27</v>
      </c>
    </row>
    <row r="44" spans="1:12">
      <c r="A44" s="2" t="s">
        <v>176</v>
      </c>
      <c r="B44" s="2" t="s">
        <v>177</v>
      </c>
      <c r="C44" s="4" t="s">
        <v>35</v>
      </c>
      <c r="D44" s="2">
        <v>4</v>
      </c>
      <c r="E44" s="3">
        <v>45311</v>
      </c>
      <c r="F44" s="2" t="s">
        <v>53</v>
      </c>
      <c r="G44" s="2" t="s">
        <v>95</v>
      </c>
      <c r="H44" s="2" t="s">
        <v>96</v>
      </c>
      <c r="I44" s="2" t="s">
        <v>26</v>
      </c>
      <c r="J44" s="2" t="s">
        <v>19</v>
      </c>
      <c r="K44" s="2">
        <v>30</v>
      </c>
      <c r="L44" s="2" t="s">
        <v>27</v>
      </c>
    </row>
    <row r="45" spans="1:12">
      <c r="A45" s="2" t="s">
        <v>178</v>
      </c>
      <c r="B45" s="2" t="s">
        <v>179</v>
      </c>
      <c r="C45" s="4" t="s">
        <v>35</v>
      </c>
      <c r="D45" s="2">
        <v>2</v>
      </c>
      <c r="E45" s="3">
        <v>45312</v>
      </c>
      <c r="F45" s="2" t="s">
        <v>15</v>
      </c>
      <c r="G45" s="2" t="s">
        <v>180</v>
      </c>
      <c r="H45" s="2" t="s">
        <v>100</v>
      </c>
      <c r="I45" s="2" t="s">
        <v>18</v>
      </c>
      <c r="J45" s="2" t="s">
        <v>70</v>
      </c>
      <c r="K45" s="2">
        <v>36</v>
      </c>
      <c r="L45" s="2" t="s">
        <v>20</v>
      </c>
    </row>
    <row r="46" spans="1:12">
      <c r="A46" s="2" t="s">
        <v>181</v>
      </c>
      <c r="B46" s="2" t="s">
        <v>182</v>
      </c>
      <c r="C46" s="4" t="s">
        <v>23</v>
      </c>
      <c r="D46" s="2">
        <v>3</v>
      </c>
      <c r="E46" s="3">
        <v>45312</v>
      </c>
      <c r="F46" s="2" t="s">
        <v>53</v>
      </c>
      <c r="G46" s="2" t="s">
        <v>183</v>
      </c>
      <c r="H46" s="2" t="s">
        <v>184</v>
      </c>
      <c r="I46" s="2" t="s">
        <v>26</v>
      </c>
      <c r="J46" s="2" t="s">
        <v>70</v>
      </c>
      <c r="K46" s="2">
        <v>17</v>
      </c>
      <c r="L46" s="2" t="s">
        <v>49</v>
      </c>
    </row>
    <row r="47" spans="1:12">
      <c r="A47" s="2" t="s">
        <v>185</v>
      </c>
      <c r="B47" s="2" t="s">
        <v>186</v>
      </c>
      <c r="C47" s="4" t="s">
        <v>35</v>
      </c>
      <c r="D47" s="2">
        <v>4</v>
      </c>
      <c r="E47" s="3">
        <v>45313</v>
      </c>
      <c r="F47" s="2" t="s">
        <v>15</v>
      </c>
      <c r="G47" s="2" t="s">
        <v>36</v>
      </c>
      <c r="H47" s="2" t="s">
        <v>37</v>
      </c>
      <c r="I47" s="2" t="s">
        <v>45</v>
      </c>
      <c r="J47" s="2" t="s">
        <v>19</v>
      </c>
      <c r="K47" s="2">
        <v>38</v>
      </c>
      <c r="L47" s="2" t="s">
        <v>49</v>
      </c>
    </row>
    <row r="48" spans="1:12">
      <c r="A48" s="2" t="s">
        <v>187</v>
      </c>
      <c r="B48" s="2" t="s">
        <v>188</v>
      </c>
      <c r="C48" s="4" t="s">
        <v>35</v>
      </c>
      <c r="D48" s="2">
        <v>2</v>
      </c>
      <c r="E48" s="3">
        <v>45313</v>
      </c>
      <c r="F48" s="2" t="s">
        <v>116</v>
      </c>
      <c r="G48" s="2" t="s">
        <v>189</v>
      </c>
      <c r="H48" s="2" t="s">
        <v>69</v>
      </c>
      <c r="I48" s="2" t="s">
        <v>18</v>
      </c>
      <c r="J48" s="2" t="s">
        <v>19</v>
      </c>
      <c r="K48" s="2">
        <v>36</v>
      </c>
      <c r="L48" s="2" t="s">
        <v>27</v>
      </c>
    </row>
    <row r="49" spans="1:12">
      <c r="A49" s="2" t="s">
        <v>190</v>
      </c>
      <c r="B49" s="2" t="s">
        <v>191</v>
      </c>
      <c r="C49" s="4" t="s">
        <v>42</v>
      </c>
      <c r="D49" s="2">
        <v>9</v>
      </c>
      <c r="E49" s="3">
        <v>45314</v>
      </c>
      <c r="F49" s="2" t="s">
        <v>15</v>
      </c>
      <c r="G49" s="2" t="s">
        <v>192</v>
      </c>
      <c r="H49" s="2" t="s">
        <v>69</v>
      </c>
      <c r="I49" s="2" t="s">
        <v>18</v>
      </c>
      <c r="J49" s="2" t="s">
        <v>19</v>
      </c>
      <c r="K49" s="2">
        <v>38</v>
      </c>
      <c r="L49" s="2" t="s">
        <v>49</v>
      </c>
    </row>
    <row r="50" spans="1:12">
      <c r="A50" s="2" t="s">
        <v>193</v>
      </c>
      <c r="B50" s="2" t="s">
        <v>194</v>
      </c>
      <c r="C50" s="4" t="s">
        <v>23</v>
      </c>
      <c r="D50" s="2">
        <v>6</v>
      </c>
      <c r="E50" s="3">
        <v>45314</v>
      </c>
      <c r="F50" s="2" t="s">
        <v>15</v>
      </c>
      <c r="G50" s="2" t="s">
        <v>195</v>
      </c>
      <c r="H50" s="2" t="s">
        <v>196</v>
      </c>
      <c r="I50" s="2" t="s">
        <v>18</v>
      </c>
      <c r="J50" s="2" t="s">
        <v>19</v>
      </c>
      <c r="K50" s="2">
        <v>13</v>
      </c>
      <c r="L50" s="2" t="s">
        <v>49</v>
      </c>
    </row>
    <row r="51" spans="1:12">
      <c r="A51" s="2" t="s">
        <v>197</v>
      </c>
      <c r="B51" s="2" t="s">
        <v>198</v>
      </c>
      <c r="C51" s="4" t="s">
        <v>42</v>
      </c>
      <c r="D51" s="2">
        <v>8</v>
      </c>
      <c r="E51" s="3">
        <v>45315</v>
      </c>
      <c r="F51" s="2" t="s">
        <v>116</v>
      </c>
      <c r="G51" s="2" t="s">
        <v>199</v>
      </c>
      <c r="H51" s="2" t="s">
        <v>200</v>
      </c>
      <c r="I51" s="2" t="s">
        <v>18</v>
      </c>
      <c r="J51" s="2" t="s">
        <v>19</v>
      </c>
      <c r="K51" s="2">
        <v>42</v>
      </c>
      <c r="L51" s="2" t="s">
        <v>27</v>
      </c>
    </row>
    <row r="52" spans="1:12">
      <c r="A52" s="2" t="s">
        <v>201</v>
      </c>
      <c r="B52" s="2" t="s">
        <v>202</v>
      </c>
      <c r="C52" s="4" t="s">
        <v>14</v>
      </c>
      <c r="D52" s="2">
        <v>8</v>
      </c>
      <c r="E52" s="3">
        <v>45315</v>
      </c>
      <c r="F52" s="2" t="s">
        <v>116</v>
      </c>
      <c r="G52" s="2" t="s">
        <v>203</v>
      </c>
      <c r="H52" s="2" t="s">
        <v>204</v>
      </c>
      <c r="I52" s="2" t="s">
        <v>18</v>
      </c>
      <c r="J52" s="2" t="s">
        <v>19</v>
      </c>
      <c r="K52" s="2">
        <v>7</v>
      </c>
      <c r="L52" s="2" t="s">
        <v>49</v>
      </c>
    </row>
    <row r="53" spans="1:12">
      <c r="A53" s="2" t="s">
        <v>205</v>
      </c>
      <c r="B53" s="2" t="s">
        <v>206</v>
      </c>
      <c r="C53" s="4" t="s">
        <v>35</v>
      </c>
      <c r="D53" s="2">
        <v>4</v>
      </c>
      <c r="E53" s="3">
        <v>45315</v>
      </c>
      <c r="F53" s="2" t="s">
        <v>53</v>
      </c>
      <c r="G53" s="2" t="s">
        <v>207</v>
      </c>
      <c r="H53" s="2" t="s">
        <v>69</v>
      </c>
      <c r="I53" s="2" t="s">
        <v>26</v>
      </c>
      <c r="J53" s="2" t="s">
        <v>19</v>
      </c>
      <c r="K53" s="2">
        <v>30</v>
      </c>
      <c r="L53" s="2" t="s">
        <v>49</v>
      </c>
    </row>
    <row r="54" spans="1:12">
      <c r="A54" s="2" t="s">
        <v>208</v>
      </c>
      <c r="B54" s="2" t="s">
        <v>209</v>
      </c>
      <c r="C54" s="4" t="s">
        <v>23</v>
      </c>
      <c r="D54" s="2">
        <v>4</v>
      </c>
      <c r="E54" s="3">
        <v>45315</v>
      </c>
      <c r="F54" s="2" t="s">
        <v>116</v>
      </c>
      <c r="G54" s="2" t="s">
        <v>107</v>
      </c>
      <c r="H54" s="2" t="s">
        <v>37</v>
      </c>
      <c r="I54" s="2" t="s">
        <v>18</v>
      </c>
      <c r="J54" s="2" t="s">
        <v>70</v>
      </c>
      <c r="K54" s="2">
        <v>22</v>
      </c>
      <c r="L54" s="2" t="s">
        <v>49</v>
      </c>
    </row>
    <row r="55" spans="1:12">
      <c r="A55" s="2" t="s">
        <v>210</v>
      </c>
      <c r="B55" s="2" t="s">
        <v>211</v>
      </c>
      <c r="C55" s="4" t="s">
        <v>42</v>
      </c>
      <c r="D55" s="2">
        <v>7</v>
      </c>
      <c r="E55" s="3">
        <v>45316</v>
      </c>
      <c r="F55" s="2" t="s">
        <v>15</v>
      </c>
      <c r="G55" s="2" t="s">
        <v>212</v>
      </c>
      <c r="H55" s="2" t="s">
        <v>213</v>
      </c>
      <c r="I55" s="2" t="s">
        <v>26</v>
      </c>
      <c r="J55" s="2" t="s">
        <v>19</v>
      </c>
      <c r="K55" s="2">
        <v>8</v>
      </c>
      <c r="L55" s="2" t="s">
        <v>49</v>
      </c>
    </row>
    <row r="56" spans="1:12">
      <c r="A56" s="2" t="s">
        <v>214</v>
      </c>
      <c r="B56" s="2" t="s">
        <v>215</v>
      </c>
      <c r="C56" s="4" t="s">
        <v>35</v>
      </c>
      <c r="D56" s="2">
        <v>3</v>
      </c>
      <c r="E56" s="3">
        <v>45316</v>
      </c>
      <c r="F56" s="2" t="s">
        <v>15</v>
      </c>
      <c r="G56" s="2" t="s">
        <v>216</v>
      </c>
      <c r="H56" s="2" t="s">
        <v>196</v>
      </c>
      <c r="I56" s="2" t="s">
        <v>18</v>
      </c>
      <c r="J56" s="2" t="s">
        <v>70</v>
      </c>
      <c r="K56" s="2">
        <v>44</v>
      </c>
      <c r="L56" s="2" t="s">
        <v>49</v>
      </c>
    </row>
    <row r="57" spans="1:12">
      <c r="A57" s="2" t="s">
        <v>217</v>
      </c>
      <c r="B57" s="2" t="s">
        <v>218</v>
      </c>
      <c r="C57" s="4" t="s">
        <v>35</v>
      </c>
      <c r="D57" s="2">
        <v>1</v>
      </c>
      <c r="E57" s="3">
        <v>45317</v>
      </c>
      <c r="F57" s="2" t="s">
        <v>15</v>
      </c>
      <c r="G57" s="2" t="s">
        <v>155</v>
      </c>
      <c r="H57" s="2" t="s">
        <v>156</v>
      </c>
      <c r="I57" s="2" t="s">
        <v>18</v>
      </c>
      <c r="J57" s="2" t="s">
        <v>19</v>
      </c>
      <c r="K57" s="2">
        <v>34</v>
      </c>
      <c r="L57" s="2" t="s">
        <v>49</v>
      </c>
    </row>
    <row r="58" spans="1:12">
      <c r="A58" s="2" t="s">
        <v>219</v>
      </c>
      <c r="B58" s="2" t="s">
        <v>220</v>
      </c>
      <c r="C58" s="4" t="s">
        <v>23</v>
      </c>
      <c r="D58" s="2">
        <v>6</v>
      </c>
      <c r="E58" s="3">
        <v>45317</v>
      </c>
      <c r="F58" s="2" t="s">
        <v>15</v>
      </c>
      <c r="G58" s="2" t="s">
        <v>120</v>
      </c>
      <c r="H58" s="2" t="s">
        <v>121</v>
      </c>
      <c r="I58" s="2" t="s">
        <v>26</v>
      </c>
      <c r="J58" s="2" t="s">
        <v>19</v>
      </c>
      <c r="K58" s="2">
        <v>18</v>
      </c>
      <c r="L58" s="2" t="s">
        <v>27</v>
      </c>
    </row>
    <row r="59" spans="1:12">
      <c r="A59" s="2" t="s">
        <v>221</v>
      </c>
      <c r="B59" s="2" t="s">
        <v>222</v>
      </c>
      <c r="C59" s="4" t="s">
        <v>23</v>
      </c>
      <c r="D59" s="2">
        <v>4</v>
      </c>
      <c r="E59" s="3">
        <v>45318</v>
      </c>
      <c r="F59" s="2" t="s">
        <v>15</v>
      </c>
      <c r="G59" s="2" t="s">
        <v>223</v>
      </c>
      <c r="H59" s="2" t="s">
        <v>200</v>
      </c>
      <c r="I59" s="2" t="s">
        <v>38</v>
      </c>
      <c r="J59" s="2" t="s">
        <v>19</v>
      </c>
      <c r="K59" s="2">
        <v>23</v>
      </c>
      <c r="L59" s="2" t="s">
        <v>27</v>
      </c>
    </row>
    <row r="60" spans="1:12">
      <c r="A60" s="2" t="s">
        <v>224</v>
      </c>
      <c r="B60" s="2" t="s">
        <v>225</v>
      </c>
      <c r="C60" s="4" t="s">
        <v>14</v>
      </c>
      <c r="D60" s="2">
        <v>7</v>
      </c>
      <c r="E60" s="3">
        <v>45318</v>
      </c>
      <c r="F60" s="2" t="s">
        <v>15</v>
      </c>
      <c r="G60" s="2" t="s">
        <v>226</v>
      </c>
      <c r="H60" s="2" t="s">
        <v>196</v>
      </c>
      <c r="I60" s="2" t="s">
        <v>26</v>
      </c>
      <c r="J60" s="2" t="s">
        <v>19</v>
      </c>
      <c r="K60" s="2">
        <v>37</v>
      </c>
      <c r="L60" s="2" t="s">
        <v>27</v>
      </c>
    </row>
    <row r="61" spans="1:12">
      <c r="A61" s="2" t="s">
        <v>227</v>
      </c>
      <c r="B61" s="2" t="s">
        <v>228</v>
      </c>
      <c r="C61" s="4" t="s">
        <v>52</v>
      </c>
      <c r="D61" s="2">
        <v>9</v>
      </c>
      <c r="E61" s="3">
        <v>45319</v>
      </c>
      <c r="F61" s="2" t="s">
        <v>15</v>
      </c>
      <c r="G61" s="2" t="s">
        <v>229</v>
      </c>
      <c r="H61" s="2" t="s">
        <v>77</v>
      </c>
      <c r="I61" s="2" t="s">
        <v>45</v>
      </c>
      <c r="J61" s="2" t="s">
        <v>19</v>
      </c>
      <c r="K61" s="2">
        <v>14</v>
      </c>
      <c r="L61" s="2" t="s">
        <v>49</v>
      </c>
    </row>
    <row r="62" spans="1:12">
      <c r="A62" s="2" t="s">
        <v>230</v>
      </c>
      <c r="B62" s="2" t="s">
        <v>231</v>
      </c>
      <c r="C62" s="4" t="s">
        <v>23</v>
      </c>
      <c r="D62" s="2">
        <v>5</v>
      </c>
      <c r="E62" s="3">
        <v>45319</v>
      </c>
      <c r="F62" s="2" t="s">
        <v>15</v>
      </c>
      <c r="G62" s="2" t="s">
        <v>232</v>
      </c>
      <c r="H62" s="2" t="s">
        <v>184</v>
      </c>
      <c r="I62" s="2" t="s">
        <v>45</v>
      </c>
      <c r="J62" s="2" t="s">
        <v>19</v>
      </c>
      <c r="K62" s="2">
        <v>31</v>
      </c>
      <c r="L62" s="2" t="s">
        <v>32</v>
      </c>
    </row>
    <row r="63" spans="1:12">
      <c r="A63" s="2" t="s">
        <v>233</v>
      </c>
      <c r="B63" s="2" t="s">
        <v>234</v>
      </c>
      <c r="C63" s="4" t="s">
        <v>35</v>
      </c>
      <c r="D63" s="2">
        <v>1</v>
      </c>
      <c r="E63" s="3">
        <v>45320</v>
      </c>
      <c r="F63" s="2" t="s">
        <v>53</v>
      </c>
      <c r="G63" s="2" t="s">
        <v>235</v>
      </c>
      <c r="H63" s="2" t="s">
        <v>196</v>
      </c>
      <c r="I63" s="2" t="s">
        <v>26</v>
      </c>
      <c r="J63" s="2" t="s">
        <v>19</v>
      </c>
      <c r="K63" s="2">
        <v>10</v>
      </c>
      <c r="L63" s="2" t="s">
        <v>32</v>
      </c>
    </row>
    <row r="64" spans="1:12">
      <c r="A64" s="2" t="s">
        <v>236</v>
      </c>
      <c r="B64" s="2" t="s">
        <v>237</v>
      </c>
      <c r="C64" s="4" t="s">
        <v>23</v>
      </c>
      <c r="D64" s="2">
        <v>3</v>
      </c>
      <c r="E64" s="3">
        <v>45320</v>
      </c>
      <c r="F64" s="2" t="s">
        <v>15</v>
      </c>
      <c r="G64" s="2" t="s">
        <v>238</v>
      </c>
      <c r="H64" s="2" t="s">
        <v>31</v>
      </c>
      <c r="I64" s="2" t="s">
        <v>18</v>
      </c>
      <c r="J64" s="2" t="s">
        <v>70</v>
      </c>
      <c r="K64" s="2">
        <v>45</v>
      </c>
      <c r="L64" s="2" t="s">
        <v>49</v>
      </c>
    </row>
    <row r="65" spans="1:12">
      <c r="A65" s="2" t="s">
        <v>239</v>
      </c>
      <c r="B65" s="2" t="s">
        <v>240</v>
      </c>
      <c r="C65" s="4" t="s">
        <v>23</v>
      </c>
      <c r="D65" s="2">
        <v>5</v>
      </c>
      <c r="E65" s="3">
        <v>45320</v>
      </c>
      <c r="F65" s="2" t="s">
        <v>15</v>
      </c>
      <c r="G65" s="2" t="s">
        <v>57</v>
      </c>
      <c r="H65" s="2" t="s">
        <v>58</v>
      </c>
      <c r="I65" s="2" t="s">
        <v>38</v>
      </c>
      <c r="J65" s="2" t="s">
        <v>19</v>
      </c>
      <c r="K65" s="2">
        <v>8</v>
      </c>
      <c r="L65" s="2" t="s">
        <v>32</v>
      </c>
    </row>
    <row r="66" spans="1:12">
      <c r="A66" s="2" t="s">
        <v>241</v>
      </c>
      <c r="B66" s="2" t="s">
        <v>242</v>
      </c>
      <c r="C66" s="4" t="s">
        <v>42</v>
      </c>
      <c r="D66" s="2">
        <v>8</v>
      </c>
      <c r="E66" s="3">
        <v>45320</v>
      </c>
      <c r="F66" s="2" t="s">
        <v>15</v>
      </c>
      <c r="G66" s="2" t="s">
        <v>243</v>
      </c>
      <c r="H66" s="2" t="s">
        <v>69</v>
      </c>
      <c r="I66" s="2" t="s">
        <v>38</v>
      </c>
      <c r="J66" s="2" t="s">
        <v>39</v>
      </c>
      <c r="K66" s="2">
        <v>35</v>
      </c>
      <c r="L66" s="2" t="s">
        <v>27</v>
      </c>
    </row>
    <row r="67" spans="1:12">
      <c r="A67" s="2" t="s">
        <v>244</v>
      </c>
      <c r="B67" s="2" t="s">
        <v>245</v>
      </c>
      <c r="C67" s="4" t="s">
        <v>52</v>
      </c>
      <c r="D67" s="2">
        <v>9</v>
      </c>
      <c r="E67" s="3">
        <v>45320</v>
      </c>
      <c r="F67" s="2" t="s">
        <v>53</v>
      </c>
      <c r="G67" s="2" t="s">
        <v>110</v>
      </c>
      <c r="H67" s="2" t="s">
        <v>31</v>
      </c>
      <c r="I67" s="2" t="s">
        <v>26</v>
      </c>
      <c r="J67" s="2" t="s">
        <v>19</v>
      </c>
      <c r="K67" s="2">
        <v>33</v>
      </c>
      <c r="L67" s="2" t="s">
        <v>27</v>
      </c>
    </row>
    <row r="68" spans="1:12">
      <c r="A68" s="2" t="s">
        <v>246</v>
      </c>
      <c r="B68" s="2" t="s">
        <v>247</v>
      </c>
      <c r="C68" s="4" t="s">
        <v>14</v>
      </c>
      <c r="D68" s="2">
        <v>8</v>
      </c>
      <c r="E68" s="3">
        <v>45321</v>
      </c>
      <c r="F68" s="2" t="s">
        <v>53</v>
      </c>
      <c r="G68" s="2" t="s">
        <v>195</v>
      </c>
      <c r="H68" s="2" t="s">
        <v>196</v>
      </c>
      <c r="I68" s="2" t="s">
        <v>26</v>
      </c>
      <c r="J68" s="2" t="s">
        <v>19</v>
      </c>
      <c r="K68" s="2">
        <v>8</v>
      </c>
      <c r="L68" s="2" t="s">
        <v>49</v>
      </c>
    </row>
    <row r="69" spans="1:12">
      <c r="A69" s="2" t="s">
        <v>248</v>
      </c>
      <c r="B69" s="2" t="s">
        <v>249</v>
      </c>
      <c r="C69" s="4" t="s">
        <v>23</v>
      </c>
      <c r="D69" s="2">
        <v>3</v>
      </c>
      <c r="E69" s="3">
        <v>45321</v>
      </c>
      <c r="F69" s="2" t="s">
        <v>15</v>
      </c>
      <c r="G69" s="2" t="s">
        <v>250</v>
      </c>
      <c r="H69" s="2" t="s">
        <v>251</v>
      </c>
      <c r="I69" s="2" t="s">
        <v>45</v>
      </c>
      <c r="J69" s="2" t="s">
        <v>19</v>
      </c>
      <c r="K69" s="2">
        <v>19</v>
      </c>
      <c r="L69" s="2" t="s">
        <v>49</v>
      </c>
    </row>
    <row r="70" spans="1:12">
      <c r="A70" s="2" t="s">
        <v>252</v>
      </c>
      <c r="B70" s="2" t="s">
        <v>253</v>
      </c>
      <c r="C70" s="4" t="s">
        <v>23</v>
      </c>
      <c r="D70" s="2">
        <v>3</v>
      </c>
      <c r="E70" s="3">
        <v>45322</v>
      </c>
      <c r="F70" s="2" t="s">
        <v>15</v>
      </c>
      <c r="G70" s="2" t="s">
        <v>250</v>
      </c>
      <c r="H70" s="2" t="s">
        <v>254</v>
      </c>
      <c r="I70" s="2" t="s">
        <v>45</v>
      </c>
      <c r="J70" s="2" t="s">
        <v>19</v>
      </c>
      <c r="K70" s="2">
        <v>23</v>
      </c>
      <c r="L70" s="2" t="s">
        <v>27</v>
      </c>
    </row>
    <row r="71" spans="1:12">
      <c r="A71" s="2" t="s">
        <v>255</v>
      </c>
      <c r="B71" s="2" t="s">
        <v>256</v>
      </c>
      <c r="C71" s="4" t="s">
        <v>23</v>
      </c>
      <c r="D71" s="2">
        <v>5</v>
      </c>
      <c r="E71" s="3">
        <v>45322</v>
      </c>
      <c r="F71" s="2" t="s">
        <v>116</v>
      </c>
      <c r="G71" s="2" t="s">
        <v>99</v>
      </c>
      <c r="H71" s="2" t="s">
        <v>100</v>
      </c>
      <c r="I71" s="2" t="s">
        <v>18</v>
      </c>
      <c r="J71" s="2" t="s">
        <v>39</v>
      </c>
      <c r="K71" s="2">
        <v>35</v>
      </c>
      <c r="L71" s="2" t="s">
        <v>27</v>
      </c>
    </row>
    <row r="73" spans="1:12" ht="28.5" customHeight="1" outlineLevel="1">
      <c r="A73" s="14" t="s">
        <v>257</v>
      </c>
      <c r="B73" s="14"/>
      <c r="C73" s="14"/>
      <c r="D73" s="14"/>
    </row>
    <row r="74" spans="1:12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9</v>
      </c>
      <c r="K74" s="1" t="s">
        <v>10</v>
      </c>
      <c r="L74" s="1" t="s">
        <v>11</v>
      </c>
    </row>
    <row r="75" spans="1:12">
      <c r="A75" t="str" cm="1">
        <f t="array" ref="A75:L144">_xlfn._xlws.SORT(A2:L71,11,-1)</f>
        <v>MYP-30178430</v>
      </c>
      <c r="B75" t="str">
        <v>Cora Buggs</v>
      </c>
      <c r="C75" t="str">
        <v>Negative</v>
      </c>
      <c r="D75">
        <v>3</v>
      </c>
      <c r="E75">
        <v>45320</v>
      </c>
      <c r="F75" t="str">
        <v>Billing Question</v>
      </c>
      <c r="G75" t="str">
        <v>Katy</v>
      </c>
      <c r="H75" t="str">
        <v>Texas</v>
      </c>
      <c r="I75" t="str">
        <v>Chatbot</v>
      </c>
      <c r="J75" t="str">
        <v>Above SLA</v>
      </c>
      <c r="K75">
        <v>45</v>
      </c>
      <c r="L75" t="str">
        <v>Baltimore/MD</v>
      </c>
    </row>
    <row r="76" spans="1:12">
      <c r="A76" t="str">
        <v>BPQ-80812775</v>
      </c>
      <c r="B76" t="str">
        <v>Julee O'Gavin</v>
      </c>
      <c r="C76" t="str">
        <v>Negative</v>
      </c>
      <c r="D76">
        <v>3</v>
      </c>
      <c r="E76">
        <v>45296</v>
      </c>
      <c r="F76" t="str">
        <v>Billing Question</v>
      </c>
      <c r="G76" t="str">
        <v>Santa Ana</v>
      </c>
      <c r="H76" t="str">
        <v>California</v>
      </c>
      <c r="I76" t="str">
        <v>Chatbot</v>
      </c>
      <c r="J76" t="str">
        <v>Above SLA</v>
      </c>
      <c r="K76">
        <v>44</v>
      </c>
      <c r="L76" t="str">
        <v>Baltimore/MD</v>
      </c>
    </row>
    <row r="77" spans="1:12">
      <c r="A77" t="str">
        <v>VKV-67119644</v>
      </c>
      <c r="B77" t="str">
        <v>Lillis Dewhurst</v>
      </c>
      <c r="C77" t="str">
        <v>Negative</v>
      </c>
      <c r="D77">
        <v>4</v>
      </c>
      <c r="E77">
        <v>45301</v>
      </c>
      <c r="F77" t="str">
        <v>Billing Question</v>
      </c>
      <c r="G77" t="str">
        <v>Stockton</v>
      </c>
      <c r="H77" t="str">
        <v>California</v>
      </c>
      <c r="I77" t="str">
        <v>Call-Center</v>
      </c>
      <c r="J77" t="str">
        <v>Above SLA</v>
      </c>
      <c r="K77">
        <v>44</v>
      </c>
      <c r="L77" t="str">
        <v>Denver/CO</v>
      </c>
    </row>
    <row r="78" spans="1:12">
      <c r="A78" t="str">
        <v>SYU-34524338</v>
      </c>
      <c r="B78" t="str">
        <v>Giralda Gebby</v>
      </c>
      <c r="C78" t="str">
        <v>Very Negative</v>
      </c>
      <c r="D78">
        <v>3</v>
      </c>
      <c r="E78">
        <v>45316</v>
      </c>
      <c r="F78" t="str">
        <v>Billing Question</v>
      </c>
      <c r="G78" t="str">
        <v>Naperville</v>
      </c>
      <c r="H78" t="str">
        <v>Illinois</v>
      </c>
      <c r="I78" t="str">
        <v>Chatbot</v>
      </c>
      <c r="J78" t="str">
        <v>Above SLA</v>
      </c>
      <c r="K78">
        <v>44</v>
      </c>
      <c r="L78" t="str">
        <v>Baltimore/MD</v>
      </c>
    </row>
    <row r="79" spans="1:12">
      <c r="A79" t="str">
        <v>XCX-53374693</v>
      </c>
      <c r="B79" t="str">
        <v>Francyne Hagergham</v>
      </c>
      <c r="C79" t="str">
        <v>Negative</v>
      </c>
      <c r="D79">
        <v>6</v>
      </c>
      <c r="E79">
        <v>45308</v>
      </c>
      <c r="F79" t="str">
        <v>Billing Question</v>
      </c>
      <c r="G79" t="str">
        <v>Santa Ana</v>
      </c>
      <c r="H79" t="str">
        <v>California</v>
      </c>
      <c r="I79" t="str">
        <v>Web</v>
      </c>
      <c r="J79" t="str">
        <v>Within SLA</v>
      </c>
      <c r="K79">
        <v>43</v>
      </c>
      <c r="L79" t="str">
        <v>Los Angeles/CA</v>
      </c>
    </row>
    <row r="80" spans="1:12">
      <c r="A80" t="str">
        <v>PJL-11752230</v>
      </c>
      <c r="B80" t="str">
        <v>Lindsay Bubb</v>
      </c>
      <c r="C80" t="str">
        <v>Very Positive</v>
      </c>
      <c r="D80">
        <v>9</v>
      </c>
      <c r="E80">
        <v>45309</v>
      </c>
      <c r="F80" t="str">
        <v>Billing Question</v>
      </c>
      <c r="G80" t="str">
        <v>South Lake Tahoe</v>
      </c>
      <c r="H80" t="str">
        <v>California</v>
      </c>
      <c r="I80" t="str">
        <v>Call-Center</v>
      </c>
      <c r="J80" t="str">
        <v>Within SLA</v>
      </c>
      <c r="K80">
        <v>43</v>
      </c>
      <c r="L80" t="str">
        <v>Los Angeles/CA</v>
      </c>
    </row>
    <row r="81" spans="1:12">
      <c r="A81" t="str">
        <v>NIL-47926257</v>
      </c>
      <c r="B81" t="str">
        <v>Delmor McKleod</v>
      </c>
      <c r="C81" t="str">
        <v>Negative</v>
      </c>
      <c r="D81">
        <v>6</v>
      </c>
      <c r="E81">
        <v>45296</v>
      </c>
      <c r="F81" t="str">
        <v>Billing Question</v>
      </c>
      <c r="G81" t="str">
        <v>El Paso</v>
      </c>
      <c r="H81" t="str">
        <v>Texas</v>
      </c>
      <c r="I81" t="str">
        <v>Web</v>
      </c>
      <c r="J81" t="str">
        <v>Within SLA</v>
      </c>
      <c r="K81">
        <v>42</v>
      </c>
      <c r="L81" t="str">
        <v>Los Angeles/CA</v>
      </c>
    </row>
    <row r="82" spans="1:12">
      <c r="A82" t="str">
        <v>TPZ-92635583</v>
      </c>
      <c r="B82" t="str">
        <v>Eartha Boner</v>
      </c>
      <c r="C82" t="str">
        <v>Positive</v>
      </c>
      <c r="D82">
        <v>8</v>
      </c>
      <c r="E82">
        <v>45315</v>
      </c>
      <c r="F82" t="str">
        <v>Service Outage</v>
      </c>
      <c r="G82" t="str">
        <v>Fort Wayne</v>
      </c>
      <c r="H82" t="str">
        <v>Indiana</v>
      </c>
      <c r="I82" t="str">
        <v>Chatbot</v>
      </c>
      <c r="J82" t="str">
        <v>Within SLA</v>
      </c>
      <c r="K82">
        <v>42</v>
      </c>
      <c r="L82" t="str">
        <v>Los Angeles/CA</v>
      </c>
    </row>
    <row r="83" spans="1:12">
      <c r="A83" t="str">
        <v>PBY-32667898</v>
      </c>
      <c r="B83" t="str">
        <v>Luz Gudgeon</v>
      </c>
      <c r="C83" t="str">
        <v>Very Negative</v>
      </c>
      <c r="D83">
        <v>4</v>
      </c>
      <c r="E83">
        <v>45302</v>
      </c>
      <c r="F83" t="str">
        <v>Service Outage</v>
      </c>
      <c r="G83" t="str">
        <v>Corpus Christi</v>
      </c>
      <c r="H83" t="str">
        <v>Texas</v>
      </c>
      <c r="I83" t="str">
        <v>Chatbot</v>
      </c>
      <c r="J83" t="str">
        <v>Within SLA</v>
      </c>
      <c r="K83">
        <v>41</v>
      </c>
      <c r="L83" t="str">
        <v>Chicago/IL</v>
      </c>
    </row>
    <row r="84" spans="1:12">
      <c r="A84" t="str">
        <v>TQC-88855863</v>
      </c>
      <c r="B84" t="str">
        <v>Erminia Lummasana</v>
      </c>
      <c r="C84" t="str">
        <v>Positive</v>
      </c>
      <c r="D84">
        <v>7</v>
      </c>
      <c r="E84">
        <v>45310</v>
      </c>
      <c r="F84" t="str">
        <v>Billing Question</v>
      </c>
      <c r="G84" t="str">
        <v>Providence</v>
      </c>
      <c r="H84" t="str">
        <v>Rhode Island</v>
      </c>
      <c r="I84" t="str">
        <v>Email</v>
      </c>
      <c r="J84" t="str">
        <v>Below SLA</v>
      </c>
      <c r="K84">
        <v>41</v>
      </c>
      <c r="L84" t="str">
        <v>Los Angeles/CA</v>
      </c>
    </row>
    <row r="85" spans="1:12">
      <c r="A85" t="str">
        <v>PDB-14404239</v>
      </c>
      <c r="B85" t="str">
        <v>Charles Sandison</v>
      </c>
      <c r="C85" t="str">
        <v>Neutral</v>
      </c>
      <c r="D85">
        <v>5</v>
      </c>
      <c r="E85">
        <v>45300</v>
      </c>
      <c r="F85" t="str">
        <v>Billing Question</v>
      </c>
      <c r="G85" t="str">
        <v>Fort Pierce</v>
      </c>
      <c r="H85" t="str">
        <v>Florida</v>
      </c>
      <c r="I85" t="str">
        <v>Email</v>
      </c>
      <c r="J85" t="str">
        <v>Below SLA</v>
      </c>
      <c r="K85">
        <v>39</v>
      </c>
      <c r="L85" t="str">
        <v>Los Angeles/CA</v>
      </c>
    </row>
    <row r="86" spans="1:12">
      <c r="A86" t="str">
        <v>DZU-03236134</v>
      </c>
      <c r="B86" t="str">
        <v>Tricia Kinnie</v>
      </c>
      <c r="C86" t="str">
        <v>Negative</v>
      </c>
      <c r="D86">
        <v>6</v>
      </c>
      <c r="E86">
        <v>45304</v>
      </c>
      <c r="F86" t="str">
        <v>Billing Question</v>
      </c>
      <c r="G86" t="str">
        <v>Shawnee Mission</v>
      </c>
      <c r="H86" t="str">
        <v>Kansas</v>
      </c>
      <c r="I86" t="str">
        <v>Call-Center</v>
      </c>
      <c r="J86" t="str">
        <v>Within SLA</v>
      </c>
      <c r="K86">
        <v>39</v>
      </c>
      <c r="L86" t="str">
        <v>Baltimore/MD</v>
      </c>
    </row>
    <row r="87" spans="1:12">
      <c r="A87" t="str">
        <v>LFZ-17229282</v>
      </c>
      <c r="B87" t="str">
        <v>Zora Keelin</v>
      </c>
      <c r="C87" t="str">
        <v>Negative</v>
      </c>
      <c r="D87">
        <v>3</v>
      </c>
      <c r="E87">
        <v>45301</v>
      </c>
      <c r="F87" t="str">
        <v>Billing Question</v>
      </c>
      <c r="G87" t="str">
        <v>Lubbock</v>
      </c>
      <c r="H87" t="str">
        <v>Texas</v>
      </c>
      <c r="I87" t="str">
        <v>Call-Center</v>
      </c>
      <c r="J87" t="str">
        <v>Within SLA</v>
      </c>
      <c r="K87">
        <v>38</v>
      </c>
      <c r="L87" t="str">
        <v>Denver/CO</v>
      </c>
    </row>
    <row r="88" spans="1:12">
      <c r="A88" t="str">
        <v>YPB-82095843</v>
      </c>
      <c r="B88" t="str">
        <v>Shari Adrienne</v>
      </c>
      <c r="C88" t="str">
        <v>Negative</v>
      </c>
      <c r="D88">
        <v>3</v>
      </c>
      <c r="E88">
        <v>45307</v>
      </c>
      <c r="F88" t="str">
        <v>Billing Question</v>
      </c>
      <c r="G88" t="str">
        <v>Fort Worth</v>
      </c>
      <c r="H88" t="str">
        <v>Texas</v>
      </c>
      <c r="I88" t="str">
        <v>Call-Center</v>
      </c>
      <c r="J88" t="str">
        <v>Within SLA</v>
      </c>
      <c r="K88">
        <v>38</v>
      </c>
      <c r="L88" t="str">
        <v>Baltimore/MD</v>
      </c>
    </row>
    <row r="89" spans="1:12">
      <c r="A89" t="str">
        <v>JJM-32557838</v>
      </c>
      <c r="B89" t="str">
        <v>Cirstoforo Jemmett</v>
      </c>
      <c r="C89" t="str">
        <v>Very Negative</v>
      </c>
      <c r="D89">
        <v>4</v>
      </c>
      <c r="E89">
        <v>45313</v>
      </c>
      <c r="F89" t="str">
        <v>Billing Question</v>
      </c>
      <c r="G89" t="str">
        <v>Fort Myers</v>
      </c>
      <c r="H89" t="str">
        <v>Florida</v>
      </c>
      <c r="I89" t="str">
        <v>Web</v>
      </c>
      <c r="J89" t="str">
        <v>Within SLA</v>
      </c>
      <c r="K89">
        <v>38</v>
      </c>
      <c r="L89" t="str">
        <v>Baltimore/MD</v>
      </c>
    </row>
    <row r="90" spans="1:12">
      <c r="A90" t="str">
        <v>GCS-45015293</v>
      </c>
      <c r="B90" t="str">
        <v>Thaddus Seeley</v>
      </c>
      <c r="C90" t="str">
        <v>Positive</v>
      </c>
      <c r="D90">
        <v>9</v>
      </c>
      <c r="E90">
        <v>45314</v>
      </c>
      <c r="F90" t="str">
        <v>Billing Question</v>
      </c>
      <c r="G90" t="str">
        <v>Sacramento</v>
      </c>
      <c r="H90" t="str">
        <v>California</v>
      </c>
      <c r="I90" t="str">
        <v>Chatbot</v>
      </c>
      <c r="J90" t="str">
        <v>Within SLA</v>
      </c>
      <c r="K90">
        <v>38</v>
      </c>
      <c r="L90" t="str">
        <v>Baltimore/MD</v>
      </c>
    </row>
    <row r="91" spans="1:12">
      <c r="A91" t="str">
        <v>VEC-69408692</v>
      </c>
      <c r="B91" t="str">
        <v>Anna-maria McPeice</v>
      </c>
      <c r="C91" t="str">
        <v>Neutral</v>
      </c>
      <c r="D91">
        <v>7</v>
      </c>
      <c r="E91">
        <v>45318</v>
      </c>
      <c r="F91" t="str">
        <v>Billing Question</v>
      </c>
      <c r="G91" t="str">
        <v>Rockford</v>
      </c>
      <c r="H91" t="str">
        <v>Illinois</v>
      </c>
      <c r="I91" t="str">
        <v>Call-Center</v>
      </c>
      <c r="J91" t="str">
        <v>Within SLA</v>
      </c>
      <c r="K91">
        <v>37</v>
      </c>
      <c r="L91" t="str">
        <v>Los Angeles/CA</v>
      </c>
    </row>
    <row r="92" spans="1:12">
      <c r="A92" t="str">
        <v>EVO-87671386</v>
      </c>
      <c r="B92" t="str">
        <v>Nanon FitzGilbert</v>
      </c>
      <c r="C92" t="str">
        <v>Very Positive</v>
      </c>
      <c r="D92">
        <v>10</v>
      </c>
      <c r="E92">
        <v>45303</v>
      </c>
      <c r="F92" t="str">
        <v>Billing Question</v>
      </c>
      <c r="G92" t="str">
        <v>Abilene</v>
      </c>
      <c r="H92" t="str">
        <v>Texas</v>
      </c>
      <c r="I92" t="str">
        <v>Web</v>
      </c>
      <c r="J92" t="str">
        <v>Below SLA</v>
      </c>
      <c r="K92">
        <v>36</v>
      </c>
      <c r="L92" t="str">
        <v>Los Angeles/CA</v>
      </c>
    </row>
    <row r="93" spans="1:12">
      <c r="A93" t="str">
        <v>BYM-24034403</v>
      </c>
      <c r="B93" t="str">
        <v>Eyde Djurevic</v>
      </c>
      <c r="C93" t="str">
        <v>Very Negative</v>
      </c>
      <c r="D93">
        <v>2</v>
      </c>
      <c r="E93">
        <v>45312</v>
      </c>
      <c r="F93" t="str">
        <v>Billing Question</v>
      </c>
      <c r="G93" t="str">
        <v>Bronx</v>
      </c>
      <c r="H93" t="str">
        <v>New York</v>
      </c>
      <c r="I93" t="str">
        <v>Chatbot</v>
      </c>
      <c r="J93" t="str">
        <v>Above SLA</v>
      </c>
      <c r="K93">
        <v>36</v>
      </c>
      <c r="L93" t="str">
        <v>Chicago/IL</v>
      </c>
    </row>
    <row r="94" spans="1:12">
      <c r="A94" t="str">
        <v>KWC-18652469</v>
      </c>
      <c r="B94" t="str">
        <v>Elijah Goalby</v>
      </c>
      <c r="C94" t="str">
        <v>Very Negative</v>
      </c>
      <c r="D94">
        <v>2</v>
      </c>
      <c r="E94">
        <v>45313</v>
      </c>
      <c r="F94" t="str">
        <v>Service Outage</v>
      </c>
      <c r="G94" t="str">
        <v>Pasadena</v>
      </c>
      <c r="H94" t="str">
        <v>California</v>
      </c>
      <c r="I94" t="str">
        <v>Chatbot</v>
      </c>
      <c r="J94" t="str">
        <v>Within SLA</v>
      </c>
      <c r="K94">
        <v>36</v>
      </c>
      <c r="L94" t="str">
        <v>Los Angeles/CA</v>
      </c>
    </row>
    <row r="95" spans="1:12">
      <c r="A95" t="str">
        <v>ZMB-79323804</v>
      </c>
      <c r="B95" t="str">
        <v>Brodie Dobrowski</v>
      </c>
      <c r="C95" t="str">
        <v>Negative</v>
      </c>
      <c r="D95">
        <v>5</v>
      </c>
      <c r="E95">
        <v>45297</v>
      </c>
      <c r="F95" t="str">
        <v>Billing Question</v>
      </c>
      <c r="G95" t="str">
        <v>Pittsburgh</v>
      </c>
      <c r="H95" t="str">
        <v>Pennsylvania</v>
      </c>
      <c r="I95" t="str">
        <v>Chatbot</v>
      </c>
      <c r="J95" t="str">
        <v>Within SLA</v>
      </c>
      <c r="K95">
        <v>35</v>
      </c>
      <c r="L95" t="str">
        <v>Baltimore/MD</v>
      </c>
    </row>
    <row r="96" spans="1:12">
      <c r="A96" t="str">
        <v>UCT-41608771</v>
      </c>
      <c r="B96" t="str">
        <v>Ettie Ruoff</v>
      </c>
      <c r="C96" t="str">
        <v>Very Negative</v>
      </c>
      <c r="D96">
        <v>3</v>
      </c>
      <c r="E96">
        <v>45299</v>
      </c>
      <c r="F96" t="str">
        <v>Billing Question</v>
      </c>
      <c r="G96" t="str">
        <v>Washington</v>
      </c>
      <c r="H96" t="str">
        <v>District of Columbia</v>
      </c>
      <c r="I96" t="str">
        <v>Chatbot</v>
      </c>
      <c r="J96" t="str">
        <v>Above SLA</v>
      </c>
      <c r="K96">
        <v>35</v>
      </c>
      <c r="L96" t="str">
        <v>Chicago/IL</v>
      </c>
    </row>
    <row r="97" spans="1:12">
      <c r="A97" t="str">
        <v>WKS-55916097</v>
      </c>
      <c r="B97" t="str">
        <v>Alberik Jacques</v>
      </c>
      <c r="C97" t="str">
        <v>Neutral</v>
      </c>
      <c r="D97">
        <v>6</v>
      </c>
      <c r="E97">
        <v>45306</v>
      </c>
      <c r="F97" t="str">
        <v>Service Outage</v>
      </c>
      <c r="G97" t="str">
        <v>Houston</v>
      </c>
      <c r="H97" t="str">
        <v>Texas</v>
      </c>
      <c r="I97" t="str">
        <v>Chatbot</v>
      </c>
      <c r="J97" t="str">
        <v>Below SLA</v>
      </c>
      <c r="K97">
        <v>35</v>
      </c>
      <c r="L97" t="str">
        <v>Baltimore/MD</v>
      </c>
    </row>
    <row r="98" spans="1:12">
      <c r="A98" t="str">
        <v>TLA-11600824</v>
      </c>
      <c r="B98" t="str">
        <v>Ganny Crampsy</v>
      </c>
      <c r="C98" t="str">
        <v>Negative</v>
      </c>
      <c r="D98">
        <v>3</v>
      </c>
      <c r="E98">
        <v>45307</v>
      </c>
      <c r="F98" t="str">
        <v>Service Outage</v>
      </c>
      <c r="G98" t="str">
        <v>Minneapolis</v>
      </c>
      <c r="H98" t="str">
        <v>Minnesota</v>
      </c>
      <c r="I98" t="str">
        <v>Chatbot</v>
      </c>
      <c r="J98" t="str">
        <v>Within SLA</v>
      </c>
      <c r="K98">
        <v>35</v>
      </c>
      <c r="L98" t="str">
        <v>Chicago/IL</v>
      </c>
    </row>
    <row r="99" spans="1:12">
      <c r="A99" t="str">
        <v>VMZ-59696572</v>
      </c>
      <c r="B99" t="str">
        <v>Sheppard Withull</v>
      </c>
      <c r="C99" t="str">
        <v>Positive</v>
      </c>
      <c r="D99">
        <v>8</v>
      </c>
      <c r="E99">
        <v>45320</v>
      </c>
      <c r="F99" t="str">
        <v>Billing Question</v>
      </c>
      <c r="G99" t="str">
        <v>Concord</v>
      </c>
      <c r="H99" t="str">
        <v>California</v>
      </c>
      <c r="I99" t="str">
        <v>Email</v>
      </c>
      <c r="J99" t="str">
        <v>Below SLA</v>
      </c>
      <c r="K99">
        <v>35</v>
      </c>
      <c r="L99" t="str">
        <v>Los Angeles/CA</v>
      </c>
    </row>
    <row r="100" spans="1:12">
      <c r="A100" t="str">
        <v>CRQ-64410572</v>
      </c>
      <c r="B100" t="str">
        <v>Bat Pond</v>
      </c>
      <c r="C100" t="str">
        <v>Negative</v>
      </c>
      <c r="D100">
        <v>5</v>
      </c>
      <c r="E100">
        <v>45322</v>
      </c>
      <c r="F100" t="str">
        <v>Service Outage</v>
      </c>
      <c r="G100" t="str">
        <v>New York City</v>
      </c>
      <c r="H100" t="str">
        <v>New York</v>
      </c>
      <c r="I100" t="str">
        <v>Chatbot</v>
      </c>
      <c r="J100" t="str">
        <v>Below SLA</v>
      </c>
      <c r="K100">
        <v>35</v>
      </c>
      <c r="L100" t="str">
        <v>Los Angeles/CA</v>
      </c>
    </row>
    <row r="101" spans="1:12">
      <c r="A101" t="str">
        <v>IYX-48770048</v>
      </c>
      <c r="B101" t="str">
        <v>Minette Muzzillo</v>
      </c>
      <c r="C101" t="str">
        <v>Very Negative</v>
      </c>
      <c r="D101">
        <v>4</v>
      </c>
      <c r="E101">
        <v>45303</v>
      </c>
      <c r="F101" t="str">
        <v>Billing Question</v>
      </c>
      <c r="G101" t="str">
        <v>Colorado Springs</v>
      </c>
      <c r="H101" t="str">
        <v>Colorado</v>
      </c>
      <c r="I101" t="str">
        <v>Email</v>
      </c>
      <c r="J101" t="str">
        <v>Within SLA</v>
      </c>
      <c r="K101">
        <v>34</v>
      </c>
      <c r="L101" t="str">
        <v>Los Angeles/CA</v>
      </c>
    </row>
    <row r="102" spans="1:12">
      <c r="A102" t="str">
        <v>GBF-72465641</v>
      </c>
      <c r="B102" t="str">
        <v>Shelagh Washington</v>
      </c>
      <c r="C102" t="str">
        <v>Very Negative</v>
      </c>
      <c r="D102">
        <v>1</v>
      </c>
      <c r="E102">
        <v>45317</v>
      </c>
      <c r="F102" t="str">
        <v>Billing Question</v>
      </c>
      <c r="G102" t="str">
        <v>Salt Lake City</v>
      </c>
      <c r="H102" t="str">
        <v>Utah</v>
      </c>
      <c r="I102" t="str">
        <v>Chatbot</v>
      </c>
      <c r="J102" t="str">
        <v>Within SLA</v>
      </c>
      <c r="K102">
        <v>34</v>
      </c>
      <c r="L102" t="str">
        <v>Baltimore/MD</v>
      </c>
    </row>
    <row r="103" spans="1:12">
      <c r="A103" t="str">
        <v>JCE-87896568</v>
      </c>
      <c r="B103" t="str">
        <v>Llewellyn Pablos</v>
      </c>
      <c r="C103" t="str">
        <v>Very Positive</v>
      </c>
      <c r="D103">
        <v>9</v>
      </c>
      <c r="E103">
        <v>45320</v>
      </c>
      <c r="F103" t="str">
        <v>Payments</v>
      </c>
      <c r="G103" t="str">
        <v>Lubbock</v>
      </c>
      <c r="H103" t="str">
        <v>Texas</v>
      </c>
      <c r="I103" t="str">
        <v>Call-Center</v>
      </c>
      <c r="J103" t="str">
        <v>Within SLA</v>
      </c>
      <c r="K103">
        <v>33</v>
      </c>
      <c r="L103" t="str">
        <v>Los Angeles/CA</v>
      </c>
    </row>
    <row r="104" spans="1:12">
      <c r="A104" t="str">
        <v>ROH-40287216</v>
      </c>
      <c r="B104" t="str">
        <v>Harcourt Zoanetti</v>
      </c>
      <c r="C104" t="str">
        <v>Negative</v>
      </c>
      <c r="D104">
        <v>5</v>
      </c>
      <c r="E104">
        <v>45292</v>
      </c>
      <c r="F104" t="str">
        <v>Billing Question</v>
      </c>
      <c r="G104" t="str">
        <v>Honolulu</v>
      </c>
      <c r="H104" t="str">
        <v>Hawaii</v>
      </c>
      <c r="I104" t="str">
        <v>Call-Center</v>
      </c>
      <c r="J104" t="str">
        <v>Within SLA</v>
      </c>
      <c r="K104">
        <v>32</v>
      </c>
      <c r="L104" t="str">
        <v>Los Angeles/CA</v>
      </c>
    </row>
    <row r="105" spans="1:12">
      <c r="A105" t="str">
        <v>QCH-83950486</v>
      </c>
      <c r="B105" t="str">
        <v>Sephira Philippart</v>
      </c>
      <c r="C105" t="str">
        <v>Negative</v>
      </c>
      <c r="D105">
        <v>3</v>
      </c>
      <c r="E105">
        <v>45300</v>
      </c>
      <c r="F105" t="str">
        <v>Billing Question</v>
      </c>
      <c r="G105" t="str">
        <v>Madison</v>
      </c>
      <c r="H105" t="str">
        <v>Wisconsin</v>
      </c>
      <c r="I105" t="str">
        <v>Web</v>
      </c>
      <c r="J105" t="str">
        <v>Within SLA</v>
      </c>
      <c r="K105">
        <v>31</v>
      </c>
      <c r="L105" t="str">
        <v>Los Angeles/CA</v>
      </c>
    </row>
    <row r="106" spans="1:12">
      <c r="A106" t="str">
        <v>VBY-78584211</v>
      </c>
      <c r="B106" t="str">
        <v>Evangeline Dillingham</v>
      </c>
      <c r="C106" t="str">
        <v>Negative</v>
      </c>
      <c r="D106">
        <v>5</v>
      </c>
      <c r="E106">
        <v>45319</v>
      </c>
      <c r="F106" t="str">
        <v>Billing Question</v>
      </c>
      <c r="G106" t="str">
        <v>Reno</v>
      </c>
      <c r="H106" t="str">
        <v>Nevada</v>
      </c>
      <c r="I106" t="str">
        <v>Web</v>
      </c>
      <c r="J106" t="str">
        <v>Within SLA</v>
      </c>
      <c r="K106">
        <v>31</v>
      </c>
      <c r="L106" t="str">
        <v>Denver/CO</v>
      </c>
    </row>
    <row r="107" spans="1:12">
      <c r="A107" t="str">
        <v>YYO-56445305</v>
      </c>
      <c r="B107" t="str">
        <v>Sibylla Kemet</v>
      </c>
      <c r="C107" t="str">
        <v>Very Negative</v>
      </c>
      <c r="D107">
        <v>2</v>
      </c>
      <c r="E107">
        <v>45298</v>
      </c>
      <c r="F107" t="str">
        <v>Billing Question</v>
      </c>
      <c r="G107" t="str">
        <v>Tucson</v>
      </c>
      <c r="H107" t="str">
        <v>Arizona</v>
      </c>
      <c r="I107" t="str">
        <v>Web</v>
      </c>
      <c r="J107" t="str">
        <v>Within SLA</v>
      </c>
      <c r="K107">
        <v>30</v>
      </c>
      <c r="L107" t="str">
        <v>Los Angeles/CA</v>
      </c>
    </row>
    <row r="108" spans="1:12">
      <c r="A108" t="str">
        <v>XRX-56871498</v>
      </c>
      <c r="B108" t="str">
        <v>Alric Scrane</v>
      </c>
      <c r="C108" t="str">
        <v>Very Negative</v>
      </c>
      <c r="D108">
        <v>4</v>
      </c>
      <c r="E108">
        <v>45311</v>
      </c>
      <c r="F108" t="str">
        <v>Payments</v>
      </c>
      <c r="G108" t="str">
        <v>Washington</v>
      </c>
      <c r="H108" t="str">
        <v>District of Columbia</v>
      </c>
      <c r="I108" t="str">
        <v>Call-Center</v>
      </c>
      <c r="J108" t="str">
        <v>Within SLA</v>
      </c>
      <c r="K108">
        <v>30</v>
      </c>
      <c r="L108" t="str">
        <v>Los Angeles/CA</v>
      </c>
    </row>
    <row r="109" spans="1:12">
      <c r="A109" t="str">
        <v>OKK-04567923</v>
      </c>
      <c r="B109" t="str">
        <v>Zacherie Tigner</v>
      </c>
      <c r="C109" t="str">
        <v>Very Negative</v>
      </c>
      <c r="D109">
        <v>4</v>
      </c>
      <c r="E109">
        <v>45315</v>
      </c>
      <c r="F109" t="str">
        <v>Payments</v>
      </c>
      <c r="G109" t="str">
        <v>Long Beach</v>
      </c>
      <c r="H109" t="str">
        <v>California</v>
      </c>
      <c r="I109" t="str">
        <v>Call-Center</v>
      </c>
      <c r="J109" t="str">
        <v>Within SLA</v>
      </c>
      <c r="K109">
        <v>30</v>
      </c>
      <c r="L109" t="str">
        <v>Baltimore/MD</v>
      </c>
    </row>
    <row r="110" spans="1:12">
      <c r="A110" t="str">
        <v>ZOK-34480332</v>
      </c>
      <c r="B110" t="str">
        <v>Jaye Gribbon</v>
      </c>
      <c r="C110" t="str">
        <v>Neutral</v>
      </c>
      <c r="D110">
        <v>7</v>
      </c>
      <c r="E110">
        <v>45297</v>
      </c>
      <c r="F110" t="str">
        <v>Billing Question</v>
      </c>
      <c r="G110" t="str">
        <v>Huntington</v>
      </c>
      <c r="H110" t="str">
        <v>West Virginia</v>
      </c>
      <c r="I110" t="str">
        <v>Chatbot</v>
      </c>
      <c r="J110" t="str">
        <v>Within SLA</v>
      </c>
      <c r="K110">
        <v>29</v>
      </c>
      <c r="L110" t="str">
        <v>Baltimore/MD</v>
      </c>
    </row>
    <row r="111" spans="1:12">
      <c r="A111" t="str">
        <v>JYD-67455825</v>
      </c>
      <c r="B111" t="str">
        <v>Quintilla Hourston</v>
      </c>
      <c r="C111" t="str">
        <v>Negative</v>
      </c>
      <c r="D111">
        <v>6</v>
      </c>
      <c r="E111">
        <v>45298</v>
      </c>
      <c r="F111" t="str">
        <v>Payments</v>
      </c>
      <c r="G111" t="str">
        <v>Des Moines</v>
      </c>
      <c r="H111" t="str">
        <v>Iowa</v>
      </c>
      <c r="I111" t="str">
        <v>Call-Center</v>
      </c>
      <c r="J111" t="str">
        <v>Within SLA</v>
      </c>
      <c r="K111">
        <v>29</v>
      </c>
      <c r="L111" t="str">
        <v>Los Angeles/CA</v>
      </c>
    </row>
    <row r="112" spans="1:12">
      <c r="A112" t="str">
        <v>FGR-90006976</v>
      </c>
      <c r="B112" t="str">
        <v>Ariel Pittendreigh</v>
      </c>
      <c r="C112" t="str">
        <v>Negative</v>
      </c>
      <c r="D112">
        <v>4</v>
      </c>
      <c r="E112">
        <v>45310</v>
      </c>
      <c r="F112" t="str">
        <v>Payments</v>
      </c>
      <c r="G112" t="str">
        <v>Richmond</v>
      </c>
      <c r="H112" t="str">
        <v>Virginia</v>
      </c>
      <c r="I112" t="str">
        <v>Call-Center</v>
      </c>
      <c r="J112" t="str">
        <v>Within SLA</v>
      </c>
      <c r="K112">
        <v>27</v>
      </c>
      <c r="L112" t="str">
        <v>Baltimore/MD</v>
      </c>
    </row>
    <row r="113" spans="1:12">
      <c r="A113" t="str">
        <v>APY-17008648</v>
      </c>
      <c r="B113" t="str">
        <v>Rafe Duffitt</v>
      </c>
      <c r="C113" t="str">
        <v>Very Negative</v>
      </c>
      <c r="D113">
        <v>4</v>
      </c>
      <c r="E113">
        <v>45293</v>
      </c>
      <c r="F113" t="str">
        <v>Billing Question</v>
      </c>
      <c r="G113" t="str">
        <v>Fort Myers</v>
      </c>
      <c r="H113" t="str">
        <v>Florida</v>
      </c>
      <c r="I113" t="str">
        <v>Email</v>
      </c>
      <c r="J113" t="str">
        <v>Below SLA</v>
      </c>
      <c r="K113">
        <v>26</v>
      </c>
      <c r="L113" t="str">
        <v>Los Angeles/CA</v>
      </c>
    </row>
    <row r="114" spans="1:12">
      <c r="A114" t="str">
        <v>MHK-38443501</v>
      </c>
      <c r="B114" t="str">
        <v>Tris Bent</v>
      </c>
      <c r="C114" t="str">
        <v>Positive</v>
      </c>
      <c r="D114">
        <v>8</v>
      </c>
      <c r="E114">
        <v>45293</v>
      </c>
      <c r="F114" t="str">
        <v>Billing Question</v>
      </c>
      <c r="G114" t="str">
        <v>Tuscaloosa</v>
      </c>
      <c r="H114" t="str">
        <v>Alabama</v>
      </c>
      <c r="I114" t="str">
        <v>Web</v>
      </c>
      <c r="J114" t="str">
        <v>Within SLA</v>
      </c>
      <c r="K114">
        <v>26</v>
      </c>
      <c r="L114" t="str">
        <v>Los Angeles/CA</v>
      </c>
    </row>
    <row r="115" spans="1:12">
      <c r="A115" t="str">
        <v>ESF-57588548</v>
      </c>
      <c r="B115" t="str">
        <v>Dulsea Pendry</v>
      </c>
      <c r="C115" t="str">
        <v>Very Positive</v>
      </c>
      <c r="D115">
        <v>10</v>
      </c>
      <c r="E115">
        <v>45305</v>
      </c>
      <c r="F115" t="str">
        <v>Billing Question</v>
      </c>
      <c r="G115" t="str">
        <v>Erie</v>
      </c>
      <c r="H115" t="str">
        <v>Pennsylvania</v>
      </c>
      <c r="I115" t="str">
        <v>Web</v>
      </c>
      <c r="J115" t="str">
        <v>Within SLA</v>
      </c>
      <c r="K115">
        <v>26</v>
      </c>
      <c r="L115" t="str">
        <v>Los Angeles/CA</v>
      </c>
    </row>
    <row r="116" spans="1:12">
      <c r="A116" t="str">
        <v>OHX-59443580</v>
      </c>
      <c r="B116" t="str">
        <v>Banky Falla</v>
      </c>
      <c r="C116" t="str">
        <v>Negative</v>
      </c>
      <c r="D116">
        <v>5</v>
      </c>
      <c r="E116">
        <v>45306</v>
      </c>
      <c r="F116" t="str">
        <v>Payments</v>
      </c>
      <c r="G116" t="str">
        <v>Saint Paul</v>
      </c>
      <c r="H116" t="str">
        <v>Minnesota</v>
      </c>
      <c r="I116" t="str">
        <v>Call-Center</v>
      </c>
      <c r="J116" t="str">
        <v>Below SLA</v>
      </c>
      <c r="K116">
        <v>25</v>
      </c>
      <c r="L116" t="str">
        <v>Chicago/IL</v>
      </c>
    </row>
    <row r="117" spans="1:12">
      <c r="A117" t="str">
        <v>WMA-45712668</v>
      </c>
      <c r="B117" t="str">
        <v>Angie Francklin</v>
      </c>
      <c r="C117" t="str">
        <v>Negative</v>
      </c>
      <c r="D117">
        <v>4</v>
      </c>
      <c r="E117">
        <v>45318</v>
      </c>
      <c r="F117" t="str">
        <v>Billing Question</v>
      </c>
      <c r="G117" t="str">
        <v>Evansville</v>
      </c>
      <c r="H117" t="str">
        <v>Indiana</v>
      </c>
      <c r="I117" t="str">
        <v>Email</v>
      </c>
      <c r="J117" t="str">
        <v>Within SLA</v>
      </c>
      <c r="K117">
        <v>23</v>
      </c>
      <c r="L117" t="str">
        <v>Los Angeles/CA</v>
      </c>
    </row>
    <row r="118" spans="1:12">
      <c r="A118" t="str">
        <v>BGA-81071725</v>
      </c>
      <c r="B118" t="str">
        <v>Wylie Gramer</v>
      </c>
      <c r="C118" t="str">
        <v>Negative</v>
      </c>
      <c r="D118">
        <v>3</v>
      </c>
      <c r="E118">
        <v>45322</v>
      </c>
      <c r="F118" t="str">
        <v>Billing Question</v>
      </c>
      <c r="G118" t="str">
        <v>Columbus</v>
      </c>
      <c r="H118" t="str">
        <v>Georgia</v>
      </c>
      <c r="I118" t="str">
        <v>Web</v>
      </c>
      <c r="J118" t="str">
        <v>Within SLA</v>
      </c>
      <c r="K118">
        <v>23</v>
      </c>
      <c r="L118" t="str">
        <v>Los Angeles/CA</v>
      </c>
    </row>
    <row r="119" spans="1:12">
      <c r="A119" t="str">
        <v>TCX-30032546</v>
      </c>
      <c r="B119" t="str">
        <v>Madelena Pinnock</v>
      </c>
      <c r="C119" t="str">
        <v>Negative</v>
      </c>
      <c r="D119">
        <v>4</v>
      </c>
      <c r="E119">
        <v>45315</v>
      </c>
      <c r="F119" t="str">
        <v>Service Outage</v>
      </c>
      <c r="G119" t="str">
        <v>Fort Pierce</v>
      </c>
      <c r="H119" t="str">
        <v>Florida</v>
      </c>
      <c r="I119" t="str">
        <v>Chatbot</v>
      </c>
      <c r="J119" t="str">
        <v>Above SLA</v>
      </c>
      <c r="K119">
        <v>22</v>
      </c>
      <c r="L119" t="str">
        <v>Baltimore/MD</v>
      </c>
    </row>
    <row r="120" spans="1:12">
      <c r="A120" t="str">
        <v>YLF-83918836</v>
      </c>
      <c r="B120" t="str">
        <v>Bogey McReath</v>
      </c>
      <c r="C120" t="str">
        <v>Positive</v>
      </c>
      <c r="D120">
        <v>7</v>
      </c>
      <c r="E120">
        <v>45299</v>
      </c>
      <c r="F120" t="str">
        <v>Billing Question</v>
      </c>
      <c r="G120" t="str">
        <v>New York City</v>
      </c>
      <c r="H120" t="str">
        <v>New York</v>
      </c>
      <c r="I120" t="str">
        <v>Web</v>
      </c>
      <c r="J120" t="str">
        <v>Within SLA</v>
      </c>
      <c r="K120">
        <v>20</v>
      </c>
      <c r="L120" t="str">
        <v>Baltimore/MD</v>
      </c>
    </row>
    <row r="121" spans="1:12">
      <c r="A121" t="str">
        <v>YHK-31842577</v>
      </c>
      <c r="B121" t="str">
        <v>Ardith Bunting</v>
      </c>
      <c r="C121" t="str">
        <v>Negative</v>
      </c>
      <c r="D121">
        <v>3</v>
      </c>
      <c r="E121">
        <v>45321</v>
      </c>
      <c r="F121" t="str">
        <v>Billing Question</v>
      </c>
      <c r="G121" t="str">
        <v>Columbus</v>
      </c>
      <c r="H121" t="str">
        <v>Ohio</v>
      </c>
      <c r="I121" t="str">
        <v>Web</v>
      </c>
      <c r="J121" t="str">
        <v>Within SLA</v>
      </c>
      <c r="K121">
        <v>19</v>
      </c>
      <c r="L121" t="str">
        <v>Baltimore/MD</v>
      </c>
    </row>
    <row r="122" spans="1:12">
      <c r="A122" t="str">
        <v>FMF-68865737</v>
      </c>
      <c r="B122" t="str">
        <v>Janeczka Caze</v>
      </c>
      <c r="C122" t="str">
        <v>Negative</v>
      </c>
      <c r="D122">
        <v>6</v>
      </c>
      <c r="E122">
        <v>45317</v>
      </c>
      <c r="F122" t="str">
        <v>Billing Question</v>
      </c>
      <c r="G122" t="str">
        <v>Minneapolis</v>
      </c>
      <c r="H122" t="str">
        <v>Minnesota</v>
      </c>
      <c r="I122" t="str">
        <v>Call-Center</v>
      </c>
      <c r="J122" t="str">
        <v>Within SLA</v>
      </c>
      <c r="K122">
        <v>18</v>
      </c>
      <c r="L122" t="str">
        <v>Los Angeles/CA</v>
      </c>
    </row>
    <row r="123" spans="1:12">
      <c r="A123" t="str">
        <v>CAZ-10660311</v>
      </c>
      <c r="B123" t="str">
        <v>Kristoforo Burnell</v>
      </c>
      <c r="C123" t="str">
        <v>Positive</v>
      </c>
      <c r="D123">
        <v>7</v>
      </c>
      <c r="E123">
        <v>45305</v>
      </c>
      <c r="F123" t="str">
        <v>Billing Question</v>
      </c>
      <c r="G123" t="str">
        <v>Gainesville</v>
      </c>
      <c r="H123" t="str">
        <v>Florida</v>
      </c>
      <c r="I123" t="str">
        <v>Email</v>
      </c>
      <c r="J123" t="str">
        <v>Within SLA</v>
      </c>
      <c r="K123">
        <v>17</v>
      </c>
      <c r="L123" t="str">
        <v>Los Angeles/CA</v>
      </c>
    </row>
    <row r="124" spans="1:12">
      <c r="A124" t="str">
        <v>TNK-37391425</v>
      </c>
      <c r="B124" t="str">
        <v>Hubey Wartonby</v>
      </c>
      <c r="C124" t="str">
        <v>Negative</v>
      </c>
      <c r="D124">
        <v>3</v>
      </c>
      <c r="E124">
        <v>45312</v>
      </c>
      <c r="F124" t="str">
        <v>Payments</v>
      </c>
      <c r="G124" t="str">
        <v>Las Vegas</v>
      </c>
      <c r="H124" t="str">
        <v>Nevada</v>
      </c>
      <c r="I124" t="str">
        <v>Call-Center</v>
      </c>
      <c r="J124" t="str">
        <v>Above SLA</v>
      </c>
      <c r="K124">
        <v>17</v>
      </c>
      <c r="L124" t="str">
        <v>Baltimore/MD</v>
      </c>
    </row>
    <row r="125" spans="1:12">
      <c r="A125" t="str">
        <v>IJF-13083880</v>
      </c>
      <c r="B125" t="str">
        <v>Garland Chuney</v>
      </c>
      <c r="C125" t="str">
        <v>Negative</v>
      </c>
      <c r="D125">
        <v>3</v>
      </c>
      <c r="E125">
        <v>45295</v>
      </c>
      <c r="F125" t="str">
        <v>Billing Question</v>
      </c>
      <c r="G125" t="str">
        <v>Little Rock</v>
      </c>
      <c r="H125" t="str">
        <v>Arkansas</v>
      </c>
      <c r="I125" t="str">
        <v>Call-Center</v>
      </c>
      <c r="J125" t="str">
        <v>Within SLA</v>
      </c>
      <c r="K125">
        <v>15</v>
      </c>
      <c r="L125" t="str">
        <v>Baltimore/MD</v>
      </c>
    </row>
    <row r="126" spans="1:12">
      <c r="A126" t="str">
        <v>PIS-39858047</v>
      </c>
      <c r="B126" t="str">
        <v>Frances Gullefant</v>
      </c>
      <c r="C126" t="str">
        <v>Neutral</v>
      </c>
      <c r="D126">
        <v>8</v>
      </c>
      <c r="E126">
        <v>45292</v>
      </c>
      <c r="F126" t="str">
        <v>Billing Question</v>
      </c>
      <c r="G126" t="str">
        <v>Charleston</v>
      </c>
      <c r="H126" t="str">
        <v>West Virginia</v>
      </c>
      <c r="I126" t="str">
        <v>Chatbot</v>
      </c>
      <c r="J126" t="str">
        <v>Within SLA</v>
      </c>
      <c r="K126">
        <v>14</v>
      </c>
      <c r="L126" t="str">
        <v>Chicago/IL</v>
      </c>
    </row>
    <row r="127" spans="1:12">
      <c r="A127" t="str">
        <v>LZU-62237096</v>
      </c>
      <c r="B127" t="str">
        <v>Charo Aisbett</v>
      </c>
      <c r="C127" t="str">
        <v>Negative</v>
      </c>
      <c r="D127">
        <v>3</v>
      </c>
      <c r="E127">
        <v>45308</v>
      </c>
      <c r="F127" t="str">
        <v>Billing Question</v>
      </c>
      <c r="G127" t="str">
        <v>Salt Lake City</v>
      </c>
      <c r="H127" t="str">
        <v>Utah</v>
      </c>
      <c r="I127" t="str">
        <v>Web</v>
      </c>
      <c r="J127" t="str">
        <v>Below SLA</v>
      </c>
      <c r="K127">
        <v>14</v>
      </c>
      <c r="L127" t="str">
        <v>Los Angeles/CA</v>
      </c>
    </row>
    <row r="128" spans="1:12">
      <c r="A128" t="str">
        <v>MBN-58485152</v>
      </c>
      <c r="B128" t="str">
        <v>Jude Traise</v>
      </c>
      <c r="C128" t="str">
        <v>Very Positive</v>
      </c>
      <c r="D128">
        <v>9</v>
      </c>
      <c r="E128">
        <v>45319</v>
      </c>
      <c r="F128" t="str">
        <v>Billing Question</v>
      </c>
      <c r="G128" t="str">
        <v>Harrisburg</v>
      </c>
      <c r="H128" t="str">
        <v>Pennsylvania</v>
      </c>
      <c r="I128" t="str">
        <v>Web</v>
      </c>
      <c r="J128" t="str">
        <v>Within SLA</v>
      </c>
      <c r="K128">
        <v>14</v>
      </c>
      <c r="L128" t="str">
        <v>Baltimore/MD</v>
      </c>
    </row>
    <row r="129" spans="1:12">
      <c r="A129" t="str">
        <v>IZX-08099835</v>
      </c>
      <c r="B129" t="str">
        <v>Brody Rebichon</v>
      </c>
      <c r="C129" t="str">
        <v>Negative</v>
      </c>
      <c r="D129">
        <v>6</v>
      </c>
      <c r="E129">
        <v>45314</v>
      </c>
      <c r="F129" t="str">
        <v>Billing Question</v>
      </c>
      <c r="G129" t="str">
        <v>Chicago</v>
      </c>
      <c r="H129" t="str">
        <v>Illinois</v>
      </c>
      <c r="I129" t="str">
        <v>Chatbot</v>
      </c>
      <c r="J129" t="str">
        <v>Within SLA</v>
      </c>
      <c r="K129">
        <v>13</v>
      </c>
      <c r="L129" t="str">
        <v>Baltimore/MD</v>
      </c>
    </row>
    <row r="130" spans="1:12">
      <c r="A130" t="str">
        <v>ZKW-68562847</v>
      </c>
      <c r="B130" t="str">
        <v>Caroljean Bischop</v>
      </c>
      <c r="C130" t="str">
        <v>Negative</v>
      </c>
      <c r="D130">
        <v>3</v>
      </c>
      <c r="E130">
        <v>45295</v>
      </c>
      <c r="F130" t="str">
        <v>Billing Question</v>
      </c>
      <c r="G130" t="str">
        <v>Nashville</v>
      </c>
      <c r="H130" t="str">
        <v>Tennessee</v>
      </c>
      <c r="I130" t="str">
        <v>Web</v>
      </c>
      <c r="J130" t="str">
        <v>Within SLA</v>
      </c>
      <c r="K130">
        <v>12</v>
      </c>
      <c r="L130" t="str">
        <v>Los Angeles/CA</v>
      </c>
    </row>
    <row r="131" spans="1:12">
      <c r="A131" t="str">
        <v>WSO-69134806</v>
      </c>
      <c r="B131" t="str">
        <v>Patti Gocher</v>
      </c>
      <c r="C131" t="str">
        <v>Very Negative</v>
      </c>
      <c r="D131">
        <v>1</v>
      </c>
      <c r="E131">
        <v>45320</v>
      </c>
      <c r="F131" t="str">
        <v>Payments</v>
      </c>
      <c r="G131" t="str">
        <v>Bloomington</v>
      </c>
      <c r="H131" t="str">
        <v>Illinois</v>
      </c>
      <c r="I131" t="str">
        <v>Call-Center</v>
      </c>
      <c r="J131" t="str">
        <v>Within SLA</v>
      </c>
      <c r="K131">
        <v>10</v>
      </c>
      <c r="L131" t="str">
        <v>Denver/CO</v>
      </c>
    </row>
    <row r="132" spans="1:12">
      <c r="A132" t="str">
        <v>ZPZ-31710059</v>
      </c>
      <c r="B132" t="str">
        <v>Elbertina Hewins</v>
      </c>
      <c r="C132" t="str">
        <v>Very Positive</v>
      </c>
      <c r="D132">
        <v>10</v>
      </c>
      <c r="E132">
        <v>45294</v>
      </c>
      <c r="F132" t="str">
        <v>Payments</v>
      </c>
      <c r="G132" t="str">
        <v>Pensacola</v>
      </c>
      <c r="H132" t="str">
        <v>Florida</v>
      </c>
      <c r="I132" t="str">
        <v>Call-Center</v>
      </c>
      <c r="J132" t="str">
        <v>Within SLA</v>
      </c>
      <c r="K132">
        <v>9</v>
      </c>
      <c r="L132" t="str">
        <v>Los Angeles/CA</v>
      </c>
    </row>
    <row r="133" spans="1:12">
      <c r="A133" t="str">
        <v>KNO-93249512</v>
      </c>
      <c r="B133" t="str">
        <v>Maggi Simpson</v>
      </c>
      <c r="C133" t="str">
        <v>Positive</v>
      </c>
      <c r="D133">
        <v>9</v>
      </c>
      <c r="E133">
        <v>45299</v>
      </c>
      <c r="F133" t="str">
        <v>Payments</v>
      </c>
      <c r="G133" t="str">
        <v>San Francisco</v>
      </c>
      <c r="H133" t="str">
        <v>California</v>
      </c>
      <c r="I133" t="str">
        <v>Call-Center</v>
      </c>
      <c r="J133" t="str">
        <v>Within SLA</v>
      </c>
      <c r="K133">
        <v>9</v>
      </c>
      <c r="L133" t="str">
        <v>Baltimore/MD</v>
      </c>
    </row>
    <row r="134" spans="1:12">
      <c r="A134" t="str">
        <v>ZYX-10467563</v>
      </c>
      <c r="B134" t="str">
        <v>Ginelle Olver</v>
      </c>
      <c r="C134" t="str">
        <v>Neutral</v>
      </c>
      <c r="D134">
        <v>8</v>
      </c>
      <c r="E134">
        <v>45304</v>
      </c>
      <c r="F134" t="str">
        <v>Billing Question</v>
      </c>
      <c r="G134" t="str">
        <v>Fort Lauderdale</v>
      </c>
      <c r="H134" t="str">
        <v>Florida</v>
      </c>
      <c r="I134" t="str">
        <v>Call-Center</v>
      </c>
      <c r="J134" t="str">
        <v>Within SLA</v>
      </c>
      <c r="K134">
        <v>9</v>
      </c>
      <c r="L134" t="str">
        <v>Chicago/IL</v>
      </c>
    </row>
    <row r="135" spans="1:12">
      <c r="A135" t="str">
        <v>PAT-23706620</v>
      </c>
      <c r="B135" t="str">
        <v>Rudie Tomsen</v>
      </c>
      <c r="C135" t="str">
        <v>Positive</v>
      </c>
      <c r="D135">
        <v>7</v>
      </c>
      <c r="E135">
        <v>45311</v>
      </c>
      <c r="F135" t="str">
        <v>Payments</v>
      </c>
      <c r="G135" t="str">
        <v>Johnstown</v>
      </c>
      <c r="H135" t="str">
        <v>Pennsylvania</v>
      </c>
      <c r="I135" t="str">
        <v>Call-Center</v>
      </c>
      <c r="J135" t="str">
        <v>Within SLA</v>
      </c>
      <c r="K135">
        <v>9</v>
      </c>
      <c r="L135" t="str">
        <v>Los Angeles/CA</v>
      </c>
    </row>
    <row r="136" spans="1:12">
      <c r="A136" t="str">
        <v>VFG-63863025</v>
      </c>
      <c r="B136" t="str">
        <v>Early Andrassy</v>
      </c>
      <c r="C136" t="str">
        <v>Very Positive</v>
      </c>
      <c r="D136">
        <v>9</v>
      </c>
      <c r="E136">
        <v>45299</v>
      </c>
      <c r="F136" t="str">
        <v>Billing Question</v>
      </c>
      <c r="G136" t="str">
        <v>Lansing</v>
      </c>
      <c r="H136" t="str">
        <v>Michigan</v>
      </c>
      <c r="I136" t="str">
        <v>Chatbot</v>
      </c>
      <c r="J136" t="str">
        <v>Within SLA</v>
      </c>
      <c r="K136">
        <v>8</v>
      </c>
      <c r="L136" t="str">
        <v>Los Angeles/CA</v>
      </c>
    </row>
    <row r="137" spans="1:12">
      <c r="A137" t="str">
        <v>HMX-04214019</v>
      </c>
      <c r="B137" t="str">
        <v>Mira Beddows</v>
      </c>
      <c r="C137" t="str">
        <v>Positive</v>
      </c>
      <c r="D137">
        <v>7</v>
      </c>
      <c r="E137">
        <v>45316</v>
      </c>
      <c r="F137" t="str">
        <v>Billing Question</v>
      </c>
      <c r="G137" t="str">
        <v>Baton Rouge</v>
      </c>
      <c r="H137" t="str">
        <v>Louisiana</v>
      </c>
      <c r="I137" t="str">
        <v>Call-Center</v>
      </c>
      <c r="J137" t="str">
        <v>Within SLA</v>
      </c>
      <c r="K137">
        <v>8</v>
      </c>
      <c r="L137" t="str">
        <v>Baltimore/MD</v>
      </c>
    </row>
    <row r="138" spans="1:12">
      <c r="A138" t="str">
        <v>FRU-31409409</v>
      </c>
      <c r="B138" t="str">
        <v>Othella Kindle</v>
      </c>
      <c r="C138" t="str">
        <v>Negative</v>
      </c>
      <c r="D138">
        <v>5</v>
      </c>
      <c r="E138">
        <v>45320</v>
      </c>
      <c r="F138" t="str">
        <v>Billing Question</v>
      </c>
      <c r="G138" t="str">
        <v>Little Rock</v>
      </c>
      <c r="H138" t="str">
        <v>Arkansas</v>
      </c>
      <c r="I138" t="str">
        <v>Email</v>
      </c>
      <c r="J138" t="str">
        <v>Within SLA</v>
      </c>
      <c r="K138">
        <v>8</v>
      </c>
      <c r="L138" t="str">
        <v>Denver/CO</v>
      </c>
    </row>
    <row r="139" spans="1:12">
      <c r="A139" t="str">
        <v>GZL-83273642</v>
      </c>
      <c r="B139" t="str">
        <v>Lurleen Swadden</v>
      </c>
      <c r="C139" t="str">
        <v>Neutral</v>
      </c>
      <c r="D139">
        <v>8</v>
      </c>
      <c r="E139">
        <v>45321</v>
      </c>
      <c r="F139" t="str">
        <v>Payments</v>
      </c>
      <c r="G139" t="str">
        <v>Chicago</v>
      </c>
      <c r="H139" t="str">
        <v>Illinois</v>
      </c>
      <c r="I139" t="str">
        <v>Call-Center</v>
      </c>
      <c r="J139" t="str">
        <v>Within SLA</v>
      </c>
      <c r="K139">
        <v>8</v>
      </c>
      <c r="L139" t="str">
        <v>Baltimore/MD</v>
      </c>
    </row>
    <row r="140" spans="1:12">
      <c r="A140" t="str">
        <v>EWI-18960031</v>
      </c>
      <c r="B140" t="str">
        <v>Abigale Morgan</v>
      </c>
      <c r="C140" t="str">
        <v>Very Negative</v>
      </c>
      <c r="D140">
        <v>4</v>
      </c>
      <c r="E140">
        <v>45302</v>
      </c>
      <c r="F140" t="str">
        <v>Billing Question</v>
      </c>
      <c r="G140" t="str">
        <v>Minneapolis</v>
      </c>
      <c r="H140" t="str">
        <v>Minnesota</v>
      </c>
      <c r="I140" t="str">
        <v>Chatbot</v>
      </c>
      <c r="J140" t="str">
        <v>Within SLA</v>
      </c>
      <c r="K140">
        <v>7</v>
      </c>
      <c r="L140" t="str">
        <v>Baltimore/MD</v>
      </c>
    </row>
    <row r="141" spans="1:12">
      <c r="A141" t="str">
        <v>JOT-87331404</v>
      </c>
      <c r="B141" t="str">
        <v>Loralee Shivell</v>
      </c>
      <c r="C141" t="str">
        <v>Neutral</v>
      </c>
      <c r="D141">
        <v>8</v>
      </c>
      <c r="E141">
        <v>45315</v>
      </c>
      <c r="F141" t="str">
        <v>Service Outage</v>
      </c>
      <c r="G141" t="str">
        <v>Kansas City</v>
      </c>
      <c r="H141" t="str">
        <v>Missouri</v>
      </c>
      <c r="I141" t="str">
        <v>Chatbot</v>
      </c>
      <c r="J141" t="str">
        <v>Within SLA</v>
      </c>
      <c r="K141">
        <v>7</v>
      </c>
      <c r="L141" t="str">
        <v>Baltimore/MD</v>
      </c>
    </row>
    <row r="142" spans="1:12">
      <c r="A142" t="str">
        <v>NKC-39578431</v>
      </c>
      <c r="B142" t="str">
        <v>Washington Oxteby</v>
      </c>
      <c r="C142" t="str">
        <v>Negative</v>
      </c>
      <c r="D142">
        <v>3</v>
      </c>
      <c r="E142">
        <v>45293</v>
      </c>
      <c r="F142" t="str">
        <v>Billing Question</v>
      </c>
      <c r="G142" t="str">
        <v>Dallas</v>
      </c>
      <c r="H142" t="str">
        <v>Texas</v>
      </c>
      <c r="I142" t="str">
        <v>Chatbot</v>
      </c>
      <c r="J142" t="str">
        <v>Within SLA</v>
      </c>
      <c r="K142">
        <v>6</v>
      </c>
      <c r="L142" t="str">
        <v>Denver/CO</v>
      </c>
    </row>
    <row r="143" spans="1:12">
      <c r="A143" t="str">
        <v>QKL-49133006</v>
      </c>
      <c r="B143" t="str">
        <v>Kassie Elman</v>
      </c>
      <c r="C143" t="str">
        <v>Very Negative</v>
      </c>
      <c r="D143">
        <v>4</v>
      </c>
      <c r="E143">
        <v>45294</v>
      </c>
      <c r="F143" t="str">
        <v>Billing Question</v>
      </c>
      <c r="G143" t="str">
        <v>Charleston</v>
      </c>
      <c r="H143" t="str">
        <v>South Carolina</v>
      </c>
      <c r="I143" t="str">
        <v>Web</v>
      </c>
      <c r="J143" t="str">
        <v>Within SLA</v>
      </c>
      <c r="K143">
        <v>6</v>
      </c>
      <c r="L143" t="str">
        <v>Baltimore/MD</v>
      </c>
    </row>
    <row r="144" spans="1:12">
      <c r="A144" t="str">
        <v>MFC-52269149</v>
      </c>
      <c r="B144" t="str">
        <v>Roobbie Pickervance</v>
      </c>
      <c r="C144" t="str">
        <v>Neutral</v>
      </c>
      <c r="D144">
        <v>6</v>
      </c>
      <c r="E144">
        <v>45309</v>
      </c>
      <c r="F144" t="str">
        <v>Billing Question</v>
      </c>
      <c r="G144" t="str">
        <v>Montgomery</v>
      </c>
      <c r="H144" t="str">
        <v>Alabama</v>
      </c>
      <c r="I144" t="str">
        <v>Web</v>
      </c>
      <c r="J144" t="str">
        <v>Within SLA</v>
      </c>
      <c r="K144">
        <v>6</v>
      </c>
      <c r="L144" t="str">
        <v>Baltimore/MD</v>
      </c>
    </row>
  </sheetData>
  <mergeCells count="1">
    <mergeCell ref="A73:D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E1B7-9D2D-46DB-8F76-4527FE80490A}">
  <dimension ref="A1:AA71"/>
  <sheetViews>
    <sheetView topLeftCell="A22" workbookViewId="0">
      <selection activeCell="O40" sqref="O40"/>
    </sheetView>
  </sheetViews>
  <sheetFormatPr defaultRowHeight="15"/>
  <cols>
    <col min="1" max="12" width="21.28515625" customWidth="1"/>
    <col min="16" max="27" width="13.5703125" customWidth="1"/>
  </cols>
  <sheetData>
    <row r="1" spans="1:27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2" t="s">
        <v>18</v>
      </c>
      <c r="P1" s="10" t="s">
        <v>0</v>
      </c>
      <c r="Q1" s="11" t="s">
        <v>1</v>
      </c>
      <c r="R1" s="9" t="s">
        <v>2</v>
      </c>
      <c r="S1" s="9" t="s">
        <v>3</v>
      </c>
      <c r="T1" s="9" t="s">
        <v>4</v>
      </c>
      <c r="U1" s="9" t="s">
        <v>5</v>
      </c>
      <c r="V1" s="9" t="s">
        <v>6</v>
      </c>
      <c r="W1" s="9" t="s">
        <v>7</v>
      </c>
      <c r="X1" s="9" t="s">
        <v>8</v>
      </c>
      <c r="Y1" s="9" t="s">
        <v>9</v>
      </c>
      <c r="Z1" s="9" t="s">
        <v>10</v>
      </c>
      <c r="AA1" s="9" t="s">
        <v>11</v>
      </c>
    </row>
    <row r="2" spans="1:27">
      <c r="A2" s="2" t="s">
        <v>12</v>
      </c>
      <c r="B2" s="2" t="s">
        <v>13</v>
      </c>
      <c r="C2" s="4" t="s">
        <v>14</v>
      </c>
      <c r="D2" s="2">
        <v>8</v>
      </c>
      <c r="E2" s="3">
        <v>45292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14</v>
      </c>
      <c r="L2" s="2" t="s">
        <v>20</v>
      </c>
      <c r="N2" s="13" t="s">
        <v>26</v>
      </c>
      <c r="P2" t="str" cm="1">
        <f t="array" ref="P2:AA24">_xlfn._xlws.FILTER(A2:L71,I2:I71=N2,"Not Found")</f>
        <v>ROH-40287216</v>
      </c>
      <c r="Q2" t="str">
        <v>Harcourt Zoanetti</v>
      </c>
      <c r="R2" t="str">
        <v>Negative</v>
      </c>
      <c r="S2">
        <v>5</v>
      </c>
      <c r="T2">
        <v>45292</v>
      </c>
      <c r="U2" t="str">
        <v>Billing Question</v>
      </c>
      <c r="V2" t="str">
        <v>Honolulu</v>
      </c>
      <c r="W2" t="str">
        <v>Hawaii</v>
      </c>
      <c r="X2" t="str">
        <v>Call-Center</v>
      </c>
      <c r="Y2" t="str">
        <v>Within SLA</v>
      </c>
      <c r="Z2">
        <v>32</v>
      </c>
      <c r="AA2" t="str">
        <v>Los Angeles/CA</v>
      </c>
    </row>
    <row r="3" spans="1:27">
      <c r="A3" s="2" t="s">
        <v>21</v>
      </c>
      <c r="B3" s="2" t="s">
        <v>22</v>
      </c>
      <c r="C3" s="4" t="s">
        <v>23</v>
      </c>
      <c r="D3" s="2">
        <v>5</v>
      </c>
      <c r="E3" s="3">
        <v>45292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>
        <v>32</v>
      </c>
      <c r="L3" s="2" t="s">
        <v>27</v>
      </c>
      <c r="N3" s="6"/>
      <c r="P3" t="str">
        <v>ZPZ-31710059</v>
      </c>
      <c r="Q3" t="str">
        <v>Elbertina Hewins</v>
      </c>
      <c r="R3" t="str">
        <v>Very Positive</v>
      </c>
      <c r="S3">
        <v>10</v>
      </c>
      <c r="T3">
        <v>45294</v>
      </c>
      <c r="U3" t="str">
        <v>Payments</v>
      </c>
      <c r="V3" t="str">
        <v>Pensacola</v>
      </c>
      <c r="W3" t="str">
        <v>Florida</v>
      </c>
      <c r="X3" t="str">
        <v>Call-Center</v>
      </c>
      <c r="Y3" t="str">
        <v>Within SLA</v>
      </c>
      <c r="Z3">
        <v>9</v>
      </c>
      <c r="AA3" t="str">
        <v>Los Angeles/CA</v>
      </c>
    </row>
    <row r="4" spans="1:27">
      <c r="A4" s="2" t="s">
        <v>28</v>
      </c>
      <c r="B4" s="2" t="s">
        <v>29</v>
      </c>
      <c r="C4" s="4" t="s">
        <v>23</v>
      </c>
      <c r="D4" s="2">
        <v>3</v>
      </c>
      <c r="E4" s="3">
        <v>45293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19</v>
      </c>
      <c r="K4" s="2">
        <v>6</v>
      </c>
      <c r="L4" s="2" t="s">
        <v>32</v>
      </c>
      <c r="N4" s="6"/>
      <c r="P4" t="str">
        <v>IJF-13083880</v>
      </c>
      <c r="Q4" t="str">
        <v>Garland Chuney</v>
      </c>
      <c r="R4" t="str">
        <v>Negative</v>
      </c>
      <c r="S4">
        <v>3</v>
      </c>
      <c r="T4">
        <v>45295</v>
      </c>
      <c r="U4" t="str">
        <v>Billing Question</v>
      </c>
      <c r="V4" t="str">
        <v>Little Rock</v>
      </c>
      <c r="W4" t="str">
        <v>Arkansas</v>
      </c>
      <c r="X4" t="str">
        <v>Call-Center</v>
      </c>
      <c r="Y4" t="str">
        <v>Within SLA</v>
      </c>
      <c r="Z4">
        <v>15</v>
      </c>
      <c r="AA4" t="str">
        <v>Baltimore/MD</v>
      </c>
    </row>
    <row r="5" spans="1:27" ht="10.5" customHeight="1">
      <c r="A5" s="2" t="s">
        <v>33</v>
      </c>
      <c r="B5" s="2" t="s">
        <v>34</v>
      </c>
      <c r="C5" s="5" t="s">
        <v>35</v>
      </c>
      <c r="D5" s="2">
        <v>4</v>
      </c>
      <c r="E5" s="3">
        <v>45293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>
        <v>26</v>
      </c>
      <c r="L5" s="2" t="s">
        <v>27</v>
      </c>
      <c r="P5" t="str">
        <v>JYD-67455825</v>
      </c>
      <c r="Q5" t="str">
        <v>Quintilla Hourston</v>
      </c>
      <c r="R5" t="str">
        <v>Negative</v>
      </c>
      <c r="S5">
        <v>6</v>
      </c>
      <c r="T5">
        <v>45298</v>
      </c>
      <c r="U5" t="str">
        <v>Payments</v>
      </c>
      <c r="V5" t="str">
        <v>Des Moines</v>
      </c>
      <c r="W5" t="str">
        <v>Iowa</v>
      </c>
      <c r="X5" t="str">
        <v>Call-Center</v>
      </c>
      <c r="Y5" t="str">
        <v>Within SLA</v>
      </c>
      <c r="Z5">
        <v>29</v>
      </c>
      <c r="AA5" t="str">
        <v>Los Angeles/CA</v>
      </c>
    </row>
    <row r="6" spans="1:27">
      <c r="A6" s="2" t="s">
        <v>40</v>
      </c>
      <c r="B6" s="2" t="s">
        <v>41</v>
      </c>
      <c r="C6" s="4" t="s">
        <v>42</v>
      </c>
      <c r="D6" s="2">
        <v>8</v>
      </c>
      <c r="E6" s="3">
        <v>45293</v>
      </c>
      <c r="F6" s="2" t="s">
        <v>15</v>
      </c>
      <c r="G6" s="2" t="s">
        <v>43</v>
      </c>
      <c r="H6" s="2" t="s">
        <v>44</v>
      </c>
      <c r="I6" s="2" t="s">
        <v>45</v>
      </c>
      <c r="J6" s="2" t="s">
        <v>19</v>
      </c>
      <c r="K6" s="2">
        <v>26</v>
      </c>
      <c r="L6" s="2" t="s">
        <v>27</v>
      </c>
      <c r="P6" t="str">
        <v>KNO-93249512</v>
      </c>
      <c r="Q6" t="str">
        <v>Maggi Simpson</v>
      </c>
      <c r="R6" t="str">
        <v>Positive</v>
      </c>
      <c r="S6">
        <v>9</v>
      </c>
      <c r="T6">
        <v>45299</v>
      </c>
      <c r="U6" t="str">
        <v>Payments</v>
      </c>
      <c r="V6" t="str">
        <v>San Francisco</v>
      </c>
      <c r="W6" t="str">
        <v>California</v>
      </c>
      <c r="X6" t="str">
        <v>Call-Center</v>
      </c>
      <c r="Y6" t="str">
        <v>Within SLA</v>
      </c>
      <c r="Z6">
        <v>9</v>
      </c>
      <c r="AA6" t="str">
        <v>Baltimore/MD</v>
      </c>
    </row>
    <row r="7" spans="1:27">
      <c r="A7" s="2" t="s">
        <v>46</v>
      </c>
      <c r="B7" s="2" t="s">
        <v>47</v>
      </c>
      <c r="C7" s="4" t="s">
        <v>35</v>
      </c>
      <c r="D7" s="2">
        <v>4</v>
      </c>
      <c r="E7" s="3">
        <v>45294</v>
      </c>
      <c r="F7" s="2" t="s">
        <v>15</v>
      </c>
      <c r="G7" s="2" t="s">
        <v>16</v>
      </c>
      <c r="H7" s="2" t="s">
        <v>48</v>
      </c>
      <c r="I7" s="2" t="s">
        <v>45</v>
      </c>
      <c r="J7" s="2" t="s">
        <v>19</v>
      </c>
      <c r="K7" s="2">
        <v>6</v>
      </c>
      <c r="L7" s="2" t="s">
        <v>49</v>
      </c>
      <c r="P7" t="str">
        <v>LFZ-17229282</v>
      </c>
      <c r="Q7" t="str">
        <v>Zora Keelin</v>
      </c>
      <c r="R7" t="str">
        <v>Negative</v>
      </c>
      <c r="S7">
        <v>3</v>
      </c>
      <c r="T7">
        <v>45301</v>
      </c>
      <c r="U7" t="str">
        <v>Billing Question</v>
      </c>
      <c r="V7" t="str">
        <v>Lubbock</v>
      </c>
      <c r="W7" t="str">
        <v>Texas</v>
      </c>
      <c r="X7" t="str">
        <v>Call-Center</v>
      </c>
      <c r="Y7" t="str">
        <v>Within SLA</v>
      </c>
      <c r="Z7">
        <v>38</v>
      </c>
      <c r="AA7" t="str">
        <v>Denver/CO</v>
      </c>
    </row>
    <row r="8" spans="1:27">
      <c r="A8" s="2" t="s">
        <v>50</v>
      </c>
      <c r="B8" s="2" t="s">
        <v>51</v>
      </c>
      <c r="C8" s="4" t="s">
        <v>52</v>
      </c>
      <c r="D8" s="2">
        <v>10</v>
      </c>
      <c r="E8" s="3">
        <v>45294</v>
      </c>
      <c r="F8" s="2" t="s">
        <v>53</v>
      </c>
      <c r="G8" s="2" t="s">
        <v>54</v>
      </c>
      <c r="H8" s="2" t="s">
        <v>37</v>
      </c>
      <c r="I8" s="2" t="s">
        <v>26</v>
      </c>
      <c r="J8" s="2" t="s">
        <v>19</v>
      </c>
      <c r="K8" s="2">
        <v>9</v>
      </c>
      <c r="L8" s="2" t="s">
        <v>27</v>
      </c>
      <c r="P8" t="str">
        <v>VKV-67119644</v>
      </c>
      <c r="Q8" t="str">
        <v>Lillis Dewhurst</v>
      </c>
      <c r="R8" t="str">
        <v>Negative</v>
      </c>
      <c r="S8">
        <v>4</v>
      </c>
      <c r="T8">
        <v>45301</v>
      </c>
      <c r="U8" t="str">
        <v>Billing Question</v>
      </c>
      <c r="V8" t="str">
        <v>Stockton</v>
      </c>
      <c r="W8" t="str">
        <v>California</v>
      </c>
      <c r="X8" t="str">
        <v>Call-Center</v>
      </c>
      <c r="Y8" t="str">
        <v>Above SLA</v>
      </c>
      <c r="Z8">
        <v>44</v>
      </c>
      <c r="AA8" t="str">
        <v>Denver/CO</v>
      </c>
    </row>
    <row r="9" spans="1:27">
      <c r="A9" s="2" t="s">
        <v>55</v>
      </c>
      <c r="B9" s="2" t="s">
        <v>56</v>
      </c>
      <c r="C9" s="4" t="s">
        <v>23</v>
      </c>
      <c r="D9" s="2">
        <v>3</v>
      </c>
      <c r="E9" s="3">
        <v>45295</v>
      </c>
      <c r="F9" s="2" t="s">
        <v>15</v>
      </c>
      <c r="G9" s="2" t="s">
        <v>57</v>
      </c>
      <c r="H9" s="2" t="s">
        <v>58</v>
      </c>
      <c r="I9" s="2" t="s">
        <v>26</v>
      </c>
      <c r="J9" s="2" t="s">
        <v>19</v>
      </c>
      <c r="K9" s="2">
        <v>15</v>
      </c>
      <c r="L9" s="2" t="s">
        <v>49</v>
      </c>
      <c r="P9" t="str">
        <v>ZYX-10467563</v>
      </c>
      <c r="Q9" t="str">
        <v>Ginelle Olver</v>
      </c>
      <c r="R9" t="str">
        <v>Neutral</v>
      </c>
      <c r="S9">
        <v>8</v>
      </c>
      <c r="T9">
        <v>45304</v>
      </c>
      <c r="U9" t="str">
        <v>Billing Question</v>
      </c>
      <c r="V9" t="str">
        <v>Fort Lauderdale</v>
      </c>
      <c r="W9" t="str">
        <v>Florida</v>
      </c>
      <c r="X9" t="str">
        <v>Call-Center</v>
      </c>
      <c r="Y9" t="str">
        <v>Within SLA</v>
      </c>
      <c r="Z9">
        <v>9</v>
      </c>
      <c r="AA9" t="str">
        <v>Chicago/IL</v>
      </c>
    </row>
    <row r="10" spans="1:27">
      <c r="A10" s="2" t="s">
        <v>59</v>
      </c>
      <c r="B10" s="2" t="s">
        <v>60</v>
      </c>
      <c r="C10" s="4" t="s">
        <v>23</v>
      </c>
      <c r="D10" s="2">
        <v>3</v>
      </c>
      <c r="E10" s="3">
        <v>45295</v>
      </c>
      <c r="F10" s="2" t="s">
        <v>15</v>
      </c>
      <c r="G10" s="2" t="s">
        <v>61</v>
      </c>
      <c r="H10" s="2" t="s">
        <v>62</v>
      </c>
      <c r="I10" s="2" t="s">
        <v>45</v>
      </c>
      <c r="J10" s="2" t="s">
        <v>19</v>
      </c>
      <c r="K10" s="2">
        <v>12</v>
      </c>
      <c r="L10" s="2" t="s">
        <v>27</v>
      </c>
      <c r="P10" t="str">
        <v>DZU-03236134</v>
      </c>
      <c r="Q10" t="str">
        <v>Tricia Kinnie</v>
      </c>
      <c r="R10" t="str">
        <v>Negative</v>
      </c>
      <c r="S10">
        <v>6</v>
      </c>
      <c r="T10">
        <v>45304</v>
      </c>
      <c r="U10" t="str">
        <v>Billing Question</v>
      </c>
      <c r="V10" t="str">
        <v>Shawnee Mission</v>
      </c>
      <c r="W10" t="str">
        <v>Kansas</v>
      </c>
      <c r="X10" t="str">
        <v>Call-Center</v>
      </c>
      <c r="Y10" t="str">
        <v>Within SLA</v>
      </c>
      <c r="Z10">
        <v>39</v>
      </c>
      <c r="AA10" t="str">
        <v>Baltimore/MD</v>
      </c>
    </row>
    <row r="11" spans="1:27">
      <c r="A11" s="2" t="s">
        <v>63</v>
      </c>
      <c r="B11" s="2" t="s">
        <v>64</v>
      </c>
      <c r="C11" s="4" t="s">
        <v>23</v>
      </c>
      <c r="D11" s="2">
        <v>6</v>
      </c>
      <c r="E11" s="3">
        <v>45296</v>
      </c>
      <c r="F11" s="2" t="s">
        <v>15</v>
      </c>
      <c r="G11" s="2" t="s">
        <v>65</v>
      </c>
      <c r="H11" s="2" t="s">
        <v>31</v>
      </c>
      <c r="I11" s="2" t="s">
        <v>45</v>
      </c>
      <c r="J11" s="2" t="s">
        <v>19</v>
      </c>
      <c r="K11" s="2">
        <v>42</v>
      </c>
      <c r="L11" s="2" t="s">
        <v>27</v>
      </c>
      <c r="P11" t="str">
        <v>OHX-59443580</v>
      </c>
      <c r="Q11" t="str">
        <v>Banky Falla</v>
      </c>
      <c r="R11" t="str">
        <v>Negative</v>
      </c>
      <c r="S11">
        <v>5</v>
      </c>
      <c r="T11">
        <v>45306</v>
      </c>
      <c r="U11" t="str">
        <v>Payments</v>
      </c>
      <c r="V11" t="str">
        <v>Saint Paul</v>
      </c>
      <c r="W11" t="str">
        <v>Minnesota</v>
      </c>
      <c r="X11" t="str">
        <v>Call-Center</v>
      </c>
      <c r="Y11" t="str">
        <v>Below SLA</v>
      </c>
      <c r="Z11">
        <v>25</v>
      </c>
      <c r="AA11" t="str">
        <v>Chicago/IL</v>
      </c>
    </row>
    <row r="12" spans="1:27">
      <c r="A12" s="2" t="s">
        <v>66</v>
      </c>
      <c r="B12" s="2" t="s">
        <v>67</v>
      </c>
      <c r="C12" s="4" t="s">
        <v>23</v>
      </c>
      <c r="D12" s="2">
        <v>3</v>
      </c>
      <c r="E12" s="3">
        <v>45296</v>
      </c>
      <c r="F12" s="2" t="s">
        <v>15</v>
      </c>
      <c r="G12" s="2" t="s">
        <v>68</v>
      </c>
      <c r="H12" s="2" t="s">
        <v>69</v>
      </c>
      <c r="I12" s="2" t="s">
        <v>18</v>
      </c>
      <c r="J12" s="2" t="s">
        <v>70</v>
      </c>
      <c r="K12" s="2">
        <v>44</v>
      </c>
      <c r="L12" s="2" t="s">
        <v>49</v>
      </c>
      <c r="P12" t="str">
        <v>YPB-82095843</v>
      </c>
      <c r="Q12" t="str">
        <v>Shari Adrienne</v>
      </c>
      <c r="R12" t="str">
        <v>Negative</v>
      </c>
      <c r="S12">
        <v>3</v>
      </c>
      <c r="T12">
        <v>45307</v>
      </c>
      <c r="U12" t="str">
        <v>Billing Question</v>
      </c>
      <c r="V12" t="str">
        <v>Fort Worth</v>
      </c>
      <c r="W12" t="str">
        <v>Texas</v>
      </c>
      <c r="X12" t="str">
        <v>Call-Center</v>
      </c>
      <c r="Y12" t="str">
        <v>Within SLA</v>
      </c>
      <c r="Z12">
        <v>38</v>
      </c>
      <c r="AA12" t="str">
        <v>Baltimore/MD</v>
      </c>
    </row>
    <row r="13" spans="1:27">
      <c r="A13" s="2" t="s">
        <v>71</v>
      </c>
      <c r="B13" s="2" t="s">
        <v>72</v>
      </c>
      <c r="C13" s="4" t="s">
        <v>14</v>
      </c>
      <c r="D13" s="2">
        <v>7</v>
      </c>
      <c r="E13" s="3">
        <v>45297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19</v>
      </c>
      <c r="K13" s="2">
        <v>29</v>
      </c>
      <c r="L13" s="2" t="s">
        <v>49</v>
      </c>
      <c r="P13" t="str">
        <v>PJL-11752230</v>
      </c>
      <c r="Q13" t="str">
        <v>Lindsay Bubb</v>
      </c>
      <c r="R13" t="str">
        <v>Very Positive</v>
      </c>
      <c r="S13">
        <v>9</v>
      </c>
      <c r="T13">
        <v>45309</v>
      </c>
      <c r="U13" t="str">
        <v>Billing Question</v>
      </c>
      <c r="V13" t="str">
        <v>South Lake Tahoe</v>
      </c>
      <c r="W13" t="str">
        <v>California</v>
      </c>
      <c r="X13" t="str">
        <v>Call-Center</v>
      </c>
      <c r="Y13" t="str">
        <v>Within SLA</v>
      </c>
      <c r="Z13">
        <v>43</v>
      </c>
      <c r="AA13" t="str">
        <v>Los Angeles/CA</v>
      </c>
    </row>
    <row r="14" spans="1:27">
      <c r="A14" s="2" t="s">
        <v>74</v>
      </c>
      <c r="B14" s="2" t="s">
        <v>75</v>
      </c>
      <c r="C14" s="4" t="s">
        <v>23</v>
      </c>
      <c r="D14" s="2">
        <v>5</v>
      </c>
      <c r="E14" s="3">
        <v>45297</v>
      </c>
      <c r="F14" s="2" t="s">
        <v>15</v>
      </c>
      <c r="G14" s="2" t="s">
        <v>76</v>
      </c>
      <c r="H14" s="2" t="s">
        <v>77</v>
      </c>
      <c r="I14" s="2" t="s">
        <v>18</v>
      </c>
      <c r="J14" s="2" t="s">
        <v>19</v>
      </c>
      <c r="K14" s="2">
        <v>35</v>
      </c>
      <c r="L14" s="2" t="s">
        <v>49</v>
      </c>
      <c r="P14" t="str">
        <v>FGR-90006976</v>
      </c>
      <c r="Q14" t="str">
        <v>Ariel Pittendreigh</v>
      </c>
      <c r="R14" t="str">
        <v>Negative</v>
      </c>
      <c r="S14">
        <v>4</v>
      </c>
      <c r="T14">
        <v>45310</v>
      </c>
      <c r="U14" t="str">
        <v>Payments</v>
      </c>
      <c r="V14" t="str">
        <v>Richmond</v>
      </c>
      <c r="W14" t="str">
        <v>Virginia</v>
      </c>
      <c r="X14" t="str">
        <v>Call-Center</v>
      </c>
      <c r="Y14" t="str">
        <v>Within SLA</v>
      </c>
      <c r="Z14">
        <v>27</v>
      </c>
      <c r="AA14" t="str">
        <v>Baltimore/MD</v>
      </c>
    </row>
    <row r="15" spans="1:27">
      <c r="A15" s="2" t="s">
        <v>78</v>
      </c>
      <c r="B15" s="2" t="s">
        <v>79</v>
      </c>
      <c r="C15" s="4" t="s">
        <v>35</v>
      </c>
      <c r="D15" s="2">
        <v>2</v>
      </c>
      <c r="E15" s="3">
        <v>45298</v>
      </c>
      <c r="F15" s="2" t="s">
        <v>15</v>
      </c>
      <c r="G15" s="2" t="s">
        <v>80</v>
      </c>
      <c r="H15" s="2" t="s">
        <v>81</v>
      </c>
      <c r="I15" s="2" t="s">
        <v>45</v>
      </c>
      <c r="J15" s="2" t="s">
        <v>19</v>
      </c>
      <c r="K15" s="2">
        <v>30</v>
      </c>
      <c r="L15" s="2" t="s">
        <v>27</v>
      </c>
      <c r="P15" t="str">
        <v>PAT-23706620</v>
      </c>
      <c r="Q15" t="str">
        <v>Rudie Tomsen</v>
      </c>
      <c r="R15" t="str">
        <v>Positive</v>
      </c>
      <c r="S15">
        <v>7</v>
      </c>
      <c r="T15">
        <v>45311</v>
      </c>
      <c r="U15" t="str">
        <v>Payments</v>
      </c>
      <c r="V15" t="str">
        <v>Johnstown</v>
      </c>
      <c r="W15" t="str">
        <v>Pennsylvania</v>
      </c>
      <c r="X15" t="str">
        <v>Call-Center</v>
      </c>
      <c r="Y15" t="str">
        <v>Within SLA</v>
      </c>
      <c r="Z15">
        <v>9</v>
      </c>
      <c r="AA15" t="str">
        <v>Los Angeles/CA</v>
      </c>
    </row>
    <row r="16" spans="1:27">
      <c r="A16" s="2" t="s">
        <v>82</v>
      </c>
      <c r="B16" s="2" t="s">
        <v>83</v>
      </c>
      <c r="C16" s="4" t="s">
        <v>23</v>
      </c>
      <c r="D16" s="2">
        <v>6</v>
      </c>
      <c r="E16" s="3">
        <v>45298</v>
      </c>
      <c r="F16" s="2" t="s">
        <v>53</v>
      </c>
      <c r="G16" s="2" t="s">
        <v>84</v>
      </c>
      <c r="H16" s="2" t="s">
        <v>85</v>
      </c>
      <c r="I16" s="2" t="s">
        <v>26</v>
      </c>
      <c r="J16" s="2" t="s">
        <v>19</v>
      </c>
      <c r="K16" s="2">
        <v>29</v>
      </c>
      <c r="L16" s="2" t="s">
        <v>27</v>
      </c>
      <c r="P16" t="str">
        <v>XRX-56871498</v>
      </c>
      <c r="Q16" t="str">
        <v>Alric Scrane</v>
      </c>
      <c r="R16" t="str">
        <v>Very Negative</v>
      </c>
      <c r="S16">
        <v>4</v>
      </c>
      <c r="T16">
        <v>45311</v>
      </c>
      <c r="U16" t="str">
        <v>Payments</v>
      </c>
      <c r="V16" t="str">
        <v>Washington</v>
      </c>
      <c r="W16" t="str">
        <v>District of Columbia</v>
      </c>
      <c r="X16" t="str">
        <v>Call-Center</v>
      </c>
      <c r="Y16" t="str">
        <v>Within SLA</v>
      </c>
      <c r="Z16">
        <v>30</v>
      </c>
      <c r="AA16" t="str">
        <v>Los Angeles/CA</v>
      </c>
    </row>
    <row r="17" spans="1:27">
      <c r="A17" s="2" t="s">
        <v>86</v>
      </c>
      <c r="B17" s="2" t="s">
        <v>87</v>
      </c>
      <c r="C17" s="4" t="s">
        <v>42</v>
      </c>
      <c r="D17" s="2">
        <v>9</v>
      </c>
      <c r="E17" s="3">
        <v>45299</v>
      </c>
      <c r="F17" s="2" t="s">
        <v>53</v>
      </c>
      <c r="G17" s="2" t="s">
        <v>88</v>
      </c>
      <c r="H17" s="2" t="s">
        <v>69</v>
      </c>
      <c r="I17" s="2" t="s">
        <v>26</v>
      </c>
      <c r="J17" s="2" t="s">
        <v>19</v>
      </c>
      <c r="K17" s="2">
        <v>9</v>
      </c>
      <c r="L17" s="2" t="s">
        <v>49</v>
      </c>
      <c r="P17" t="str">
        <v>TNK-37391425</v>
      </c>
      <c r="Q17" t="str">
        <v>Hubey Wartonby</v>
      </c>
      <c r="R17" t="str">
        <v>Negative</v>
      </c>
      <c r="S17">
        <v>3</v>
      </c>
      <c r="T17">
        <v>45312</v>
      </c>
      <c r="U17" t="str">
        <v>Payments</v>
      </c>
      <c r="V17" t="str">
        <v>Las Vegas</v>
      </c>
      <c r="W17" t="str">
        <v>Nevada</v>
      </c>
      <c r="X17" t="str">
        <v>Call-Center</v>
      </c>
      <c r="Y17" t="str">
        <v>Above SLA</v>
      </c>
      <c r="Z17">
        <v>17</v>
      </c>
      <c r="AA17" t="str">
        <v>Baltimore/MD</v>
      </c>
    </row>
    <row r="18" spans="1:27">
      <c r="A18" s="2" t="s">
        <v>89</v>
      </c>
      <c r="B18" s="2" t="s">
        <v>90</v>
      </c>
      <c r="C18" s="4" t="s">
        <v>52</v>
      </c>
      <c r="D18" s="2">
        <v>9</v>
      </c>
      <c r="E18" s="3">
        <v>45299</v>
      </c>
      <c r="F18" s="2" t="s">
        <v>15</v>
      </c>
      <c r="G18" s="2" t="s">
        <v>91</v>
      </c>
      <c r="H18" s="2" t="s">
        <v>92</v>
      </c>
      <c r="I18" s="2" t="s">
        <v>18</v>
      </c>
      <c r="J18" s="2" t="s">
        <v>19</v>
      </c>
      <c r="K18" s="2">
        <v>8</v>
      </c>
      <c r="L18" s="2" t="s">
        <v>27</v>
      </c>
      <c r="P18" t="str">
        <v>OKK-04567923</v>
      </c>
      <c r="Q18" t="str">
        <v>Zacherie Tigner</v>
      </c>
      <c r="R18" t="str">
        <v>Very Negative</v>
      </c>
      <c r="S18">
        <v>4</v>
      </c>
      <c r="T18">
        <v>45315</v>
      </c>
      <c r="U18" t="str">
        <v>Payments</v>
      </c>
      <c r="V18" t="str">
        <v>Long Beach</v>
      </c>
      <c r="W18" t="str">
        <v>California</v>
      </c>
      <c r="X18" t="str">
        <v>Call-Center</v>
      </c>
      <c r="Y18" t="str">
        <v>Within SLA</v>
      </c>
      <c r="Z18">
        <v>30</v>
      </c>
      <c r="AA18" t="str">
        <v>Baltimore/MD</v>
      </c>
    </row>
    <row r="19" spans="1:27">
      <c r="A19" s="2" t="s">
        <v>93</v>
      </c>
      <c r="B19" s="2" t="s">
        <v>94</v>
      </c>
      <c r="C19" s="4" t="s">
        <v>35</v>
      </c>
      <c r="D19" s="2">
        <v>3</v>
      </c>
      <c r="E19" s="3">
        <v>45299</v>
      </c>
      <c r="F19" s="2" t="s">
        <v>15</v>
      </c>
      <c r="G19" s="2" t="s">
        <v>95</v>
      </c>
      <c r="H19" s="2" t="s">
        <v>96</v>
      </c>
      <c r="I19" s="2" t="s">
        <v>18</v>
      </c>
      <c r="J19" s="2" t="s">
        <v>70</v>
      </c>
      <c r="K19" s="2">
        <v>35</v>
      </c>
      <c r="L19" s="2" t="s">
        <v>20</v>
      </c>
      <c r="P19" t="str">
        <v>HMX-04214019</v>
      </c>
      <c r="Q19" t="str">
        <v>Mira Beddows</v>
      </c>
      <c r="R19" t="str">
        <v>Positive</v>
      </c>
      <c r="S19">
        <v>7</v>
      </c>
      <c r="T19">
        <v>45316</v>
      </c>
      <c r="U19" t="str">
        <v>Billing Question</v>
      </c>
      <c r="V19" t="str">
        <v>Baton Rouge</v>
      </c>
      <c r="W19" t="str">
        <v>Louisiana</v>
      </c>
      <c r="X19" t="str">
        <v>Call-Center</v>
      </c>
      <c r="Y19" t="str">
        <v>Within SLA</v>
      </c>
      <c r="Z19">
        <v>8</v>
      </c>
      <c r="AA19" t="str">
        <v>Baltimore/MD</v>
      </c>
    </row>
    <row r="20" spans="1:27">
      <c r="A20" s="2" t="s">
        <v>97</v>
      </c>
      <c r="B20" s="2" t="s">
        <v>98</v>
      </c>
      <c r="C20" s="4" t="s">
        <v>42</v>
      </c>
      <c r="D20" s="2">
        <v>7</v>
      </c>
      <c r="E20" s="3">
        <v>45299</v>
      </c>
      <c r="F20" s="2" t="s">
        <v>15</v>
      </c>
      <c r="G20" s="2" t="s">
        <v>99</v>
      </c>
      <c r="H20" s="2" t="s">
        <v>100</v>
      </c>
      <c r="I20" s="2" t="s">
        <v>45</v>
      </c>
      <c r="J20" s="2" t="s">
        <v>19</v>
      </c>
      <c r="K20" s="2">
        <v>20</v>
      </c>
      <c r="L20" s="2" t="s">
        <v>49</v>
      </c>
      <c r="P20" t="str">
        <v>FMF-68865737</v>
      </c>
      <c r="Q20" t="str">
        <v>Janeczka Caze</v>
      </c>
      <c r="R20" t="str">
        <v>Negative</v>
      </c>
      <c r="S20">
        <v>6</v>
      </c>
      <c r="T20">
        <v>45317</v>
      </c>
      <c r="U20" t="str">
        <v>Billing Question</v>
      </c>
      <c r="V20" t="str">
        <v>Minneapolis</v>
      </c>
      <c r="W20" t="str">
        <v>Minnesota</v>
      </c>
      <c r="X20" t="str">
        <v>Call-Center</v>
      </c>
      <c r="Y20" t="str">
        <v>Within SLA</v>
      </c>
      <c r="Z20">
        <v>18</v>
      </c>
      <c r="AA20" t="str">
        <v>Los Angeles/CA</v>
      </c>
    </row>
    <row r="21" spans="1:27">
      <c r="A21" s="2" t="s">
        <v>101</v>
      </c>
      <c r="B21" s="2" t="s">
        <v>102</v>
      </c>
      <c r="C21" s="4" t="s">
        <v>23</v>
      </c>
      <c r="D21" s="2">
        <v>3</v>
      </c>
      <c r="E21" s="3">
        <v>45300</v>
      </c>
      <c r="F21" s="2" t="s">
        <v>15</v>
      </c>
      <c r="G21" s="2" t="s">
        <v>103</v>
      </c>
      <c r="H21" s="2" t="s">
        <v>104</v>
      </c>
      <c r="I21" s="2" t="s">
        <v>45</v>
      </c>
      <c r="J21" s="2" t="s">
        <v>19</v>
      </c>
      <c r="K21" s="2">
        <v>31</v>
      </c>
      <c r="L21" s="2" t="s">
        <v>27</v>
      </c>
      <c r="P21" t="str">
        <v>VEC-69408692</v>
      </c>
      <c r="Q21" t="str">
        <v>Anna-maria McPeice</v>
      </c>
      <c r="R21" t="str">
        <v>Neutral</v>
      </c>
      <c r="S21">
        <v>7</v>
      </c>
      <c r="T21">
        <v>45318</v>
      </c>
      <c r="U21" t="str">
        <v>Billing Question</v>
      </c>
      <c r="V21" t="str">
        <v>Rockford</v>
      </c>
      <c r="W21" t="str">
        <v>Illinois</v>
      </c>
      <c r="X21" t="str">
        <v>Call-Center</v>
      </c>
      <c r="Y21" t="str">
        <v>Within SLA</v>
      </c>
      <c r="Z21">
        <v>37</v>
      </c>
      <c r="AA21" t="str">
        <v>Los Angeles/CA</v>
      </c>
    </row>
    <row r="22" spans="1:27">
      <c r="A22" s="2" t="s">
        <v>105</v>
      </c>
      <c r="B22" s="2" t="s">
        <v>106</v>
      </c>
      <c r="C22" s="4" t="s">
        <v>14</v>
      </c>
      <c r="D22" s="2">
        <v>5</v>
      </c>
      <c r="E22" s="3">
        <v>45300</v>
      </c>
      <c r="F22" s="2" t="s">
        <v>15</v>
      </c>
      <c r="G22" s="2" t="s">
        <v>107</v>
      </c>
      <c r="H22" s="2" t="s">
        <v>37</v>
      </c>
      <c r="I22" s="2" t="s">
        <v>38</v>
      </c>
      <c r="J22" s="2" t="s">
        <v>39</v>
      </c>
      <c r="K22" s="2">
        <v>39</v>
      </c>
      <c r="L22" s="2" t="s">
        <v>27</v>
      </c>
      <c r="P22" t="str">
        <v>WSO-69134806</v>
      </c>
      <c r="Q22" t="str">
        <v>Patti Gocher</v>
      </c>
      <c r="R22" t="str">
        <v>Very Negative</v>
      </c>
      <c r="S22">
        <v>1</v>
      </c>
      <c r="T22">
        <v>45320</v>
      </c>
      <c r="U22" t="str">
        <v>Payments</v>
      </c>
      <c r="V22" t="str">
        <v>Bloomington</v>
      </c>
      <c r="W22" t="str">
        <v>Illinois</v>
      </c>
      <c r="X22" t="str">
        <v>Call-Center</v>
      </c>
      <c r="Y22" t="str">
        <v>Within SLA</v>
      </c>
      <c r="Z22">
        <v>10</v>
      </c>
      <c r="AA22" t="str">
        <v>Denver/CO</v>
      </c>
    </row>
    <row r="23" spans="1:27">
      <c r="A23" s="2" t="s">
        <v>108</v>
      </c>
      <c r="B23" s="2" t="s">
        <v>109</v>
      </c>
      <c r="C23" s="4" t="s">
        <v>23</v>
      </c>
      <c r="D23" s="2">
        <v>3</v>
      </c>
      <c r="E23" s="3">
        <v>45301</v>
      </c>
      <c r="F23" s="2" t="s">
        <v>15</v>
      </c>
      <c r="G23" s="2" t="s">
        <v>110</v>
      </c>
      <c r="H23" s="2" t="s">
        <v>31</v>
      </c>
      <c r="I23" s="2" t="s">
        <v>26</v>
      </c>
      <c r="J23" s="2" t="s">
        <v>19</v>
      </c>
      <c r="K23" s="2">
        <v>38</v>
      </c>
      <c r="L23" s="2" t="s">
        <v>32</v>
      </c>
      <c r="P23" t="str">
        <v>JCE-87896568</v>
      </c>
      <c r="Q23" t="str">
        <v>Llewellyn Pablos</v>
      </c>
      <c r="R23" t="str">
        <v>Very Positive</v>
      </c>
      <c r="S23">
        <v>9</v>
      </c>
      <c r="T23">
        <v>45320</v>
      </c>
      <c r="U23" t="str">
        <v>Payments</v>
      </c>
      <c r="V23" t="str">
        <v>Lubbock</v>
      </c>
      <c r="W23" t="str">
        <v>Texas</v>
      </c>
      <c r="X23" t="str">
        <v>Call-Center</v>
      </c>
      <c r="Y23" t="str">
        <v>Within SLA</v>
      </c>
      <c r="Z23">
        <v>33</v>
      </c>
      <c r="AA23" t="str">
        <v>Los Angeles/CA</v>
      </c>
    </row>
    <row r="24" spans="1:27">
      <c r="A24" s="2" t="s">
        <v>111</v>
      </c>
      <c r="B24" s="2" t="s">
        <v>112</v>
      </c>
      <c r="C24" s="4" t="s">
        <v>23</v>
      </c>
      <c r="D24" s="2">
        <v>4</v>
      </c>
      <c r="E24" s="3">
        <v>45301</v>
      </c>
      <c r="F24" s="2" t="s">
        <v>15</v>
      </c>
      <c r="G24" s="2" t="s">
        <v>113</v>
      </c>
      <c r="H24" s="2" t="s">
        <v>69</v>
      </c>
      <c r="I24" s="2" t="s">
        <v>26</v>
      </c>
      <c r="J24" s="2" t="s">
        <v>70</v>
      </c>
      <c r="K24" s="2">
        <v>44</v>
      </c>
      <c r="L24" s="2" t="s">
        <v>32</v>
      </c>
      <c r="P24" t="str">
        <v>GZL-83273642</v>
      </c>
      <c r="Q24" t="str">
        <v>Lurleen Swadden</v>
      </c>
      <c r="R24" t="str">
        <v>Neutral</v>
      </c>
      <c r="S24">
        <v>8</v>
      </c>
      <c r="T24">
        <v>45321</v>
      </c>
      <c r="U24" t="str">
        <v>Payments</v>
      </c>
      <c r="V24" t="str">
        <v>Chicago</v>
      </c>
      <c r="W24" t="str">
        <v>Illinois</v>
      </c>
      <c r="X24" t="str">
        <v>Call-Center</v>
      </c>
      <c r="Y24" t="str">
        <v>Within SLA</v>
      </c>
      <c r="Z24">
        <v>8</v>
      </c>
      <c r="AA24" t="str">
        <v>Baltimore/MD</v>
      </c>
    </row>
    <row r="25" spans="1:27">
      <c r="A25" s="2" t="s">
        <v>114</v>
      </c>
      <c r="B25" s="2" t="s">
        <v>115</v>
      </c>
      <c r="C25" s="4" t="s">
        <v>35</v>
      </c>
      <c r="D25" s="2">
        <v>4</v>
      </c>
      <c r="E25" s="3">
        <v>45302</v>
      </c>
      <c r="F25" s="2" t="s">
        <v>116</v>
      </c>
      <c r="G25" s="2" t="s">
        <v>117</v>
      </c>
      <c r="H25" s="2" t="s">
        <v>31</v>
      </c>
      <c r="I25" s="2" t="s">
        <v>18</v>
      </c>
      <c r="J25" s="2" t="s">
        <v>19</v>
      </c>
      <c r="K25" s="2">
        <v>41</v>
      </c>
      <c r="L25" s="2" t="s">
        <v>20</v>
      </c>
    </row>
    <row r="26" spans="1:27">
      <c r="A26" s="2" t="s">
        <v>118</v>
      </c>
      <c r="B26" s="2" t="s">
        <v>119</v>
      </c>
      <c r="C26" s="4" t="s">
        <v>35</v>
      </c>
      <c r="D26" s="2">
        <v>4</v>
      </c>
      <c r="E26" s="3">
        <v>45302</v>
      </c>
      <c r="F26" s="2" t="s">
        <v>15</v>
      </c>
      <c r="G26" s="2" t="s">
        <v>120</v>
      </c>
      <c r="H26" s="2" t="s">
        <v>121</v>
      </c>
      <c r="I26" s="2" t="s">
        <v>18</v>
      </c>
      <c r="J26" s="2" t="s">
        <v>19</v>
      </c>
      <c r="K26" s="2">
        <v>7</v>
      </c>
      <c r="L26" s="2" t="s">
        <v>49</v>
      </c>
    </row>
    <row r="27" spans="1:27">
      <c r="A27" s="2" t="s">
        <v>122</v>
      </c>
      <c r="B27" s="2" t="s">
        <v>123</v>
      </c>
      <c r="C27" s="4" t="s">
        <v>35</v>
      </c>
      <c r="D27" s="2">
        <v>4</v>
      </c>
      <c r="E27" s="3">
        <v>45303</v>
      </c>
      <c r="F27" s="2" t="s">
        <v>15</v>
      </c>
      <c r="G27" s="2" t="s">
        <v>124</v>
      </c>
      <c r="H27" s="2" t="s">
        <v>125</v>
      </c>
      <c r="I27" s="2" t="s">
        <v>38</v>
      </c>
      <c r="J27" s="2" t="s">
        <v>19</v>
      </c>
      <c r="K27" s="2">
        <v>34</v>
      </c>
      <c r="L27" s="2" t="s">
        <v>27</v>
      </c>
    </row>
    <row r="28" spans="1:27">
      <c r="A28" s="2" t="s">
        <v>126</v>
      </c>
      <c r="B28" s="2" t="s">
        <v>127</v>
      </c>
      <c r="C28" s="4" t="s">
        <v>52</v>
      </c>
      <c r="D28" s="2">
        <v>10</v>
      </c>
      <c r="E28" s="3">
        <v>45303</v>
      </c>
      <c r="F28" s="2" t="s">
        <v>15</v>
      </c>
      <c r="G28" s="2" t="s">
        <v>128</v>
      </c>
      <c r="H28" s="2" t="s">
        <v>31</v>
      </c>
      <c r="I28" s="2" t="s">
        <v>45</v>
      </c>
      <c r="J28" s="2" t="s">
        <v>39</v>
      </c>
      <c r="K28" s="2">
        <v>36</v>
      </c>
      <c r="L28" s="2" t="s">
        <v>27</v>
      </c>
    </row>
    <row r="29" spans="1:27">
      <c r="A29" s="2" t="s">
        <v>129</v>
      </c>
      <c r="B29" s="2" t="s">
        <v>130</v>
      </c>
      <c r="C29" s="4" t="s">
        <v>14</v>
      </c>
      <c r="D29" s="2">
        <v>8</v>
      </c>
      <c r="E29" s="3">
        <v>45304</v>
      </c>
      <c r="F29" s="2" t="s">
        <v>15</v>
      </c>
      <c r="G29" s="2" t="s">
        <v>131</v>
      </c>
      <c r="H29" s="2" t="s">
        <v>37</v>
      </c>
      <c r="I29" s="2" t="s">
        <v>26</v>
      </c>
      <c r="J29" s="2" t="s">
        <v>19</v>
      </c>
      <c r="K29" s="2">
        <v>9</v>
      </c>
      <c r="L29" s="2" t="s">
        <v>20</v>
      </c>
    </row>
    <row r="30" spans="1:27">
      <c r="A30" s="2" t="s">
        <v>132</v>
      </c>
      <c r="B30" s="2" t="s">
        <v>133</v>
      </c>
      <c r="C30" s="4" t="s">
        <v>23</v>
      </c>
      <c r="D30" s="2">
        <v>6</v>
      </c>
      <c r="E30" s="3">
        <v>45304</v>
      </c>
      <c r="F30" s="2" t="s">
        <v>15</v>
      </c>
      <c r="G30" s="2" t="s">
        <v>134</v>
      </c>
      <c r="H30" s="2" t="s">
        <v>135</v>
      </c>
      <c r="I30" s="2" t="s">
        <v>26</v>
      </c>
      <c r="J30" s="2" t="s">
        <v>19</v>
      </c>
      <c r="K30" s="2">
        <v>39</v>
      </c>
      <c r="L30" s="2" t="s">
        <v>49</v>
      </c>
    </row>
    <row r="31" spans="1:27">
      <c r="A31" s="2" t="s">
        <v>136</v>
      </c>
      <c r="B31" s="2" t="s">
        <v>137</v>
      </c>
      <c r="C31" s="4" t="s">
        <v>42</v>
      </c>
      <c r="D31" s="2">
        <v>7</v>
      </c>
      <c r="E31" s="3">
        <v>45305</v>
      </c>
      <c r="F31" s="2" t="s">
        <v>15</v>
      </c>
      <c r="G31" s="2" t="s">
        <v>138</v>
      </c>
      <c r="H31" s="2" t="s">
        <v>37</v>
      </c>
      <c r="I31" s="2" t="s">
        <v>38</v>
      </c>
      <c r="J31" s="2" t="s">
        <v>19</v>
      </c>
      <c r="K31" s="2">
        <v>17</v>
      </c>
      <c r="L31" s="2" t="s">
        <v>27</v>
      </c>
    </row>
    <row r="32" spans="1:27">
      <c r="A32" s="2" t="s">
        <v>139</v>
      </c>
      <c r="B32" s="2" t="s">
        <v>140</v>
      </c>
      <c r="C32" s="4" t="s">
        <v>52</v>
      </c>
      <c r="D32" s="2">
        <v>10</v>
      </c>
      <c r="E32" s="3">
        <v>45305</v>
      </c>
      <c r="F32" s="2" t="s">
        <v>15</v>
      </c>
      <c r="G32" s="2" t="s">
        <v>141</v>
      </c>
      <c r="H32" s="2" t="s">
        <v>77</v>
      </c>
      <c r="I32" s="2" t="s">
        <v>45</v>
      </c>
      <c r="J32" s="2" t="s">
        <v>19</v>
      </c>
      <c r="K32" s="2">
        <v>26</v>
      </c>
      <c r="L32" s="2" t="s">
        <v>27</v>
      </c>
    </row>
    <row r="33" spans="1:12">
      <c r="A33" s="2" t="s">
        <v>142</v>
      </c>
      <c r="B33" s="2" t="s">
        <v>143</v>
      </c>
      <c r="C33" s="4" t="s">
        <v>14</v>
      </c>
      <c r="D33" s="2">
        <v>6</v>
      </c>
      <c r="E33" s="3">
        <v>45306</v>
      </c>
      <c r="F33" s="2" t="s">
        <v>116</v>
      </c>
      <c r="G33" s="2" t="s">
        <v>144</v>
      </c>
      <c r="H33" s="2" t="s">
        <v>31</v>
      </c>
      <c r="I33" s="2" t="s">
        <v>18</v>
      </c>
      <c r="J33" s="2" t="s">
        <v>39</v>
      </c>
      <c r="K33" s="2">
        <v>35</v>
      </c>
      <c r="L33" s="2" t="s">
        <v>49</v>
      </c>
    </row>
    <row r="34" spans="1:12">
      <c r="A34" s="2" t="s">
        <v>145</v>
      </c>
      <c r="B34" s="2" t="s">
        <v>146</v>
      </c>
      <c r="C34" s="4" t="s">
        <v>23</v>
      </c>
      <c r="D34" s="2">
        <v>5</v>
      </c>
      <c r="E34" s="3">
        <v>45306</v>
      </c>
      <c r="F34" s="2" t="s">
        <v>53</v>
      </c>
      <c r="G34" s="2" t="s">
        <v>147</v>
      </c>
      <c r="H34" s="2" t="s">
        <v>121</v>
      </c>
      <c r="I34" s="2" t="s">
        <v>26</v>
      </c>
      <c r="J34" s="2" t="s">
        <v>39</v>
      </c>
      <c r="K34" s="2">
        <v>25</v>
      </c>
      <c r="L34" s="2" t="s">
        <v>20</v>
      </c>
    </row>
    <row r="35" spans="1:12">
      <c r="A35" s="2" t="s">
        <v>148</v>
      </c>
      <c r="B35" s="2" t="s">
        <v>149</v>
      </c>
      <c r="C35" s="4" t="s">
        <v>23</v>
      </c>
      <c r="D35" s="2">
        <v>3</v>
      </c>
      <c r="E35" s="3">
        <v>45307</v>
      </c>
      <c r="F35" s="2" t="s">
        <v>116</v>
      </c>
      <c r="G35" s="2" t="s">
        <v>120</v>
      </c>
      <c r="H35" s="2" t="s">
        <v>121</v>
      </c>
      <c r="I35" s="2" t="s">
        <v>18</v>
      </c>
      <c r="J35" s="2" t="s">
        <v>19</v>
      </c>
      <c r="K35" s="2">
        <v>35</v>
      </c>
      <c r="L35" s="2" t="s">
        <v>20</v>
      </c>
    </row>
    <row r="36" spans="1:12">
      <c r="A36" s="2" t="s">
        <v>150</v>
      </c>
      <c r="B36" s="2" t="s">
        <v>151</v>
      </c>
      <c r="C36" s="4" t="s">
        <v>23</v>
      </c>
      <c r="D36" s="2">
        <v>3</v>
      </c>
      <c r="E36" s="3">
        <v>45307</v>
      </c>
      <c r="F36" s="2" t="s">
        <v>15</v>
      </c>
      <c r="G36" s="2" t="s">
        <v>152</v>
      </c>
      <c r="H36" s="2" t="s">
        <v>31</v>
      </c>
      <c r="I36" s="2" t="s">
        <v>26</v>
      </c>
      <c r="J36" s="2" t="s">
        <v>19</v>
      </c>
      <c r="K36" s="2">
        <v>38</v>
      </c>
      <c r="L36" s="2" t="s">
        <v>49</v>
      </c>
    </row>
    <row r="37" spans="1:12">
      <c r="A37" s="2" t="s">
        <v>153</v>
      </c>
      <c r="B37" s="2" t="s">
        <v>154</v>
      </c>
      <c r="C37" s="4" t="s">
        <v>23</v>
      </c>
      <c r="D37" s="2">
        <v>3</v>
      </c>
      <c r="E37" s="3">
        <v>45308</v>
      </c>
      <c r="F37" s="2" t="s">
        <v>15</v>
      </c>
      <c r="G37" s="2" t="s">
        <v>155</v>
      </c>
      <c r="H37" s="2" t="s">
        <v>156</v>
      </c>
      <c r="I37" s="2" t="s">
        <v>45</v>
      </c>
      <c r="J37" s="2" t="s">
        <v>39</v>
      </c>
      <c r="K37" s="2">
        <v>14</v>
      </c>
      <c r="L37" s="2" t="s">
        <v>27</v>
      </c>
    </row>
    <row r="38" spans="1:12">
      <c r="A38" s="2" t="s">
        <v>157</v>
      </c>
      <c r="B38" s="2" t="s">
        <v>158</v>
      </c>
      <c r="C38" s="4" t="s">
        <v>23</v>
      </c>
      <c r="D38" s="2">
        <v>6</v>
      </c>
      <c r="E38" s="3">
        <v>45308</v>
      </c>
      <c r="F38" s="2" t="s">
        <v>15</v>
      </c>
      <c r="G38" s="2" t="s">
        <v>68</v>
      </c>
      <c r="H38" s="2" t="s">
        <v>69</v>
      </c>
      <c r="I38" s="2" t="s">
        <v>45</v>
      </c>
      <c r="J38" s="2" t="s">
        <v>19</v>
      </c>
      <c r="K38" s="2">
        <v>43</v>
      </c>
      <c r="L38" s="2" t="s">
        <v>27</v>
      </c>
    </row>
    <row r="39" spans="1:12">
      <c r="A39" s="2" t="s">
        <v>159</v>
      </c>
      <c r="B39" s="2" t="s">
        <v>160</v>
      </c>
      <c r="C39" s="4" t="s">
        <v>52</v>
      </c>
      <c r="D39" s="2">
        <v>9</v>
      </c>
      <c r="E39" s="3">
        <v>45309</v>
      </c>
      <c r="F39" s="2" t="s">
        <v>15</v>
      </c>
      <c r="G39" s="2" t="s">
        <v>161</v>
      </c>
      <c r="H39" s="2" t="s">
        <v>69</v>
      </c>
      <c r="I39" s="2" t="s">
        <v>26</v>
      </c>
      <c r="J39" s="2" t="s">
        <v>19</v>
      </c>
      <c r="K39" s="2">
        <v>43</v>
      </c>
      <c r="L39" s="2" t="s">
        <v>27</v>
      </c>
    </row>
    <row r="40" spans="1:12">
      <c r="A40" s="2" t="s">
        <v>162</v>
      </c>
      <c r="B40" s="2" t="s">
        <v>163</v>
      </c>
      <c r="C40" s="4" t="s">
        <v>14</v>
      </c>
      <c r="D40" s="2">
        <v>6</v>
      </c>
      <c r="E40" s="3">
        <v>45309</v>
      </c>
      <c r="F40" s="2" t="s">
        <v>15</v>
      </c>
      <c r="G40" s="2" t="s">
        <v>164</v>
      </c>
      <c r="H40" s="2" t="s">
        <v>44</v>
      </c>
      <c r="I40" s="2" t="s">
        <v>45</v>
      </c>
      <c r="J40" s="2" t="s">
        <v>19</v>
      </c>
      <c r="K40" s="2">
        <v>6</v>
      </c>
      <c r="L40" s="2" t="s">
        <v>49</v>
      </c>
    </row>
    <row r="41" spans="1:12">
      <c r="A41" s="2" t="s">
        <v>165</v>
      </c>
      <c r="B41" s="2" t="s">
        <v>166</v>
      </c>
      <c r="C41" s="4" t="s">
        <v>42</v>
      </c>
      <c r="D41" s="2">
        <v>7</v>
      </c>
      <c r="E41" s="3">
        <v>45310</v>
      </c>
      <c r="F41" s="2" t="s">
        <v>15</v>
      </c>
      <c r="G41" s="2" t="s">
        <v>167</v>
      </c>
      <c r="H41" s="2" t="s">
        <v>168</v>
      </c>
      <c r="I41" s="2" t="s">
        <v>38</v>
      </c>
      <c r="J41" s="2" t="s">
        <v>39</v>
      </c>
      <c r="K41" s="2">
        <v>41</v>
      </c>
      <c r="L41" s="2" t="s">
        <v>27</v>
      </c>
    </row>
    <row r="42" spans="1:12">
      <c r="A42" s="2" t="s">
        <v>169</v>
      </c>
      <c r="B42" s="2" t="s">
        <v>170</v>
      </c>
      <c r="C42" s="4" t="s">
        <v>23</v>
      </c>
      <c r="D42" s="2">
        <v>4</v>
      </c>
      <c r="E42" s="3">
        <v>45310</v>
      </c>
      <c r="F42" s="2" t="s">
        <v>53</v>
      </c>
      <c r="G42" s="2" t="s">
        <v>171</v>
      </c>
      <c r="H42" s="2" t="s">
        <v>172</v>
      </c>
      <c r="I42" s="2" t="s">
        <v>26</v>
      </c>
      <c r="J42" s="2" t="s">
        <v>19</v>
      </c>
      <c r="K42" s="2">
        <v>27</v>
      </c>
      <c r="L42" s="2" t="s">
        <v>49</v>
      </c>
    </row>
    <row r="43" spans="1:12">
      <c r="A43" s="2" t="s">
        <v>173</v>
      </c>
      <c r="B43" s="2" t="s">
        <v>174</v>
      </c>
      <c r="C43" s="4" t="s">
        <v>42</v>
      </c>
      <c r="D43" s="2">
        <v>7</v>
      </c>
      <c r="E43" s="3">
        <v>45311</v>
      </c>
      <c r="F43" s="2" t="s">
        <v>53</v>
      </c>
      <c r="G43" s="2" t="s">
        <v>175</v>
      </c>
      <c r="H43" s="2" t="s">
        <v>77</v>
      </c>
      <c r="I43" s="2" t="s">
        <v>26</v>
      </c>
      <c r="J43" s="2" t="s">
        <v>19</v>
      </c>
      <c r="K43" s="2">
        <v>9</v>
      </c>
      <c r="L43" s="2" t="s">
        <v>27</v>
      </c>
    </row>
    <row r="44" spans="1:12">
      <c r="A44" s="2" t="s">
        <v>176</v>
      </c>
      <c r="B44" s="2" t="s">
        <v>177</v>
      </c>
      <c r="C44" s="4" t="s">
        <v>35</v>
      </c>
      <c r="D44" s="2">
        <v>4</v>
      </c>
      <c r="E44" s="3">
        <v>45311</v>
      </c>
      <c r="F44" s="2" t="s">
        <v>53</v>
      </c>
      <c r="G44" s="2" t="s">
        <v>95</v>
      </c>
      <c r="H44" s="2" t="s">
        <v>96</v>
      </c>
      <c r="I44" s="2" t="s">
        <v>26</v>
      </c>
      <c r="J44" s="2" t="s">
        <v>19</v>
      </c>
      <c r="K44" s="2">
        <v>30</v>
      </c>
      <c r="L44" s="2" t="s">
        <v>27</v>
      </c>
    </row>
    <row r="45" spans="1:12">
      <c r="A45" s="2" t="s">
        <v>178</v>
      </c>
      <c r="B45" s="2" t="s">
        <v>179</v>
      </c>
      <c r="C45" s="4" t="s">
        <v>35</v>
      </c>
      <c r="D45" s="2">
        <v>2</v>
      </c>
      <c r="E45" s="3">
        <v>45312</v>
      </c>
      <c r="F45" s="2" t="s">
        <v>15</v>
      </c>
      <c r="G45" s="2" t="s">
        <v>180</v>
      </c>
      <c r="H45" s="2" t="s">
        <v>100</v>
      </c>
      <c r="I45" s="2" t="s">
        <v>18</v>
      </c>
      <c r="J45" s="2" t="s">
        <v>70</v>
      </c>
      <c r="K45" s="2">
        <v>36</v>
      </c>
      <c r="L45" s="2" t="s">
        <v>20</v>
      </c>
    </row>
    <row r="46" spans="1:12">
      <c r="A46" s="2" t="s">
        <v>181</v>
      </c>
      <c r="B46" s="2" t="s">
        <v>182</v>
      </c>
      <c r="C46" s="4" t="s">
        <v>23</v>
      </c>
      <c r="D46" s="2">
        <v>3</v>
      </c>
      <c r="E46" s="3">
        <v>45312</v>
      </c>
      <c r="F46" s="2" t="s">
        <v>53</v>
      </c>
      <c r="G46" s="2" t="s">
        <v>183</v>
      </c>
      <c r="H46" s="2" t="s">
        <v>184</v>
      </c>
      <c r="I46" s="2" t="s">
        <v>26</v>
      </c>
      <c r="J46" s="2" t="s">
        <v>70</v>
      </c>
      <c r="K46" s="2">
        <v>17</v>
      </c>
      <c r="L46" s="2" t="s">
        <v>49</v>
      </c>
    </row>
    <row r="47" spans="1:12">
      <c r="A47" s="2" t="s">
        <v>185</v>
      </c>
      <c r="B47" s="2" t="s">
        <v>186</v>
      </c>
      <c r="C47" s="4" t="s">
        <v>35</v>
      </c>
      <c r="D47" s="2">
        <v>4</v>
      </c>
      <c r="E47" s="3">
        <v>45313</v>
      </c>
      <c r="F47" s="2" t="s">
        <v>15</v>
      </c>
      <c r="G47" s="2" t="s">
        <v>36</v>
      </c>
      <c r="H47" s="2" t="s">
        <v>37</v>
      </c>
      <c r="I47" s="2" t="s">
        <v>45</v>
      </c>
      <c r="J47" s="2" t="s">
        <v>19</v>
      </c>
      <c r="K47" s="2">
        <v>38</v>
      </c>
      <c r="L47" s="2" t="s">
        <v>49</v>
      </c>
    </row>
    <row r="48" spans="1:12">
      <c r="A48" s="2" t="s">
        <v>187</v>
      </c>
      <c r="B48" s="2" t="s">
        <v>188</v>
      </c>
      <c r="C48" s="4" t="s">
        <v>35</v>
      </c>
      <c r="D48" s="2">
        <v>2</v>
      </c>
      <c r="E48" s="3">
        <v>45313</v>
      </c>
      <c r="F48" s="2" t="s">
        <v>116</v>
      </c>
      <c r="G48" s="2" t="s">
        <v>189</v>
      </c>
      <c r="H48" s="2" t="s">
        <v>69</v>
      </c>
      <c r="I48" s="2" t="s">
        <v>18</v>
      </c>
      <c r="J48" s="2" t="s">
        <v>19</v>
      </c>
      <c r="K48" s="2">
        <v>36</v>
      </c>
      <c r="L48" s="2" t="s">
        <v>27</v>
      </c>
    </row>
    <row r="49" spans="1:12">
      <c r="A49" s="2" t="s">
        <v>190</v>
      </c>
      <c r="B49" s="2" t="s">
        <v>191</v>
      </c>
      <c r="C49" s="4" t="s">
        <v>42</v>
      </c>
      <c r="D49" s="2">
        <v>9</v>
      </c>
      <c r="E49" s="3">
        <v>45314</v>
      </c>
      <c r="F49" s="2" t="s">
        <v>15</v>
      </c>
      <c r="G49" s="2" t="s">
        <v>192</v>
      </c>
      <c r="H49" s="2" t="s">
        <v>69</v>
      </c>
      <c r="I49" s="2" t="s">
        <v>18</v>
      </c>
      <c r="J49" s="2" t="s">
        <v>19</v>
      </c>
      <c r="K49" s="2">
        <v>38</v>
      </c>
      <c r="L49" s="2" t="s">
        <v>49</v>
      </c>
    </row>
    <row r="50" spans="1:12">
      <c r="A50" s="2" t="s">
        <v>193</v>
      </c>
      <c r="B50" s="2" t="s">
        <v>194</v>
      </c>
      <c r="C50" s="4" t="s">
        <v>23</v>
      </c>
      <c r="D50" s="2">
        <v>6</v>
      </c>
      <c r="E50" s="3">
        <v>45314</v>
      </c>
      <c r="F50" s="2" t="s">
        <v>15</v>
      </c>
      <c r="G50" s="2" t="s">
        <v>195</v>
      </c>
      <c r="H50" s="2" t="s">
        <v>196</v>
      </c>
      <c r="I50" s="2" t="s">
        <v>18</v>
      </c>
      <c r="J50" s="2" t="s">
        <v>19</v>
      </c>
      <c r="K50" s="2">
        <v>13</v>
      </c>
      <c r="L50" s="2" t="s">
        <v>49</v>
      </c>
    </row>
    <row r="51" spans="1:12">
      <c r="A51" s="2" t="s">
        <v>197</v>
      </c>
      <c r="B51" s="2" t="s">
        <v>198</v>
      </c>
      <c r="C51" s="4" t="s">
        <v>42</v>
      </c>
      <c r="D51" s="2">
        <v>8</v>
      </c>
      <c r="E51" s="3">
        <v>45315</v>
      </c>
      <c r="F51" s="2" t="s">
        <v>116</v>
      </c>
      <c r="G51" s="2" t="s">
        <v>199</v>
      </c>
      <c r="H51" s="2" t="s">
        <v>200</v>
      </c>
      <c r="I51" s="2" t="s">
        <v>18</v>
      </c>
      <c r="J51" s="2" t="s">
        <v>19</v>
      </c>
      <c r="K51" s="2">
        <v>42</v>
      </c>
      <c r="L51" s="2" t="s">
        <v>27</v>
      </c>
    </row>
    <row r="52" spans="1:12">
      <c r="A52" s="2" t="s">
        <v>201</v>
      </c>
      <c r="B52" s="2" t="s">
        <v>202</v>
      </c>
      <c r="C52" s="4" t="s">
        <v>14</v>
      </c>
      <c r="D52" s="2">
        <v>8</v>
      </c>
      <c r="E52" s="3">
        <v>45315</v>
      </c>
      <c r="F52" s="2" t="s">
        <v>116</v>
      </c>
      <c r="G52" s="2" t="s">
        <v>203</v>
      </c>
      <c r="H52" s="2" t="s">
        <v>204</v>
      </c>
      <c r="I52" s="2" t="s">
        <v>18</v>
      </c>
      <c r="J52" s="2" t="s">
        <v>19</v>
      </c>
      <c r="K52" s="2">
        <v>7</v>
      </c>
      <c r="L52" s="2" t="s">
        <v>49</v>
      </c>
    </row>
    <row r="53" spans="1:12">
      <c r="A53" s="2" t="s">
        <v>205</v>
      </c>
      <c r="B53" s="2" t="s">
        <v>206</v>
      </c>
      <c r="C53" s="4" t="s">
        <v>35</v>
      </c>
      <c r="D53" s="2">
        <v>4</v>
      </c>
      <c r="E53" s="3">
        <v>45315</v>
      </c>
      <c r="F53" s="2" t="s">
        <v>53</v>
      </c>
      <c r="G53" s="2" t="s">
        <v>207</v>
      </c>
      <c r="H53" s="2" t="s">
        <v>69</v>
      </c>
      <c r="I53" s="2" t="s">
        <v>26</v>
      </c>
      <c r="J53" s="2" t="s">
        <v>19</v>
      </c>
      <c r="K53" s="2">
        <v>30</v>
      </c>
      <c r="L53" s="2" t="s">
        <v>49</v>
      </c>
    </row>
    <row r="54" spans="1:12">
      <c r="A54" s="2" t="s">
        <v>208</v>
      </c>
      <c r="B54" s="2" t="s">
        <v>209</v>
      </c>
      <c r="C54" s="4" t="s">
        <v>23</v>
      </c>
      <c r="D54" s="2">
        <v>4</v>
      </c>
      <c r="E54" s="3">
        <v>45315</v>
      </c>
      <c r="F54" s="2" t="s">
        <v>116</v>
      </c>
      <c r="G54" s="2" t="s">
        <v>107</v>
      </c>
      <c r="H54" s="2" t="s">
        <v>37</v>
      </c>
      <c r="I54" s="2" t="s">
        <v>18</v>
      </c>
      <c r="J54" s="2" t="s">
        <v>70</v>
      </c>
      <c r="K54" s="2">
        <v>22</v>
      </c>
      <c r="L54" s="2" t="s">
        <v>49</v>
      </c>
    </row>
    <row r="55" spans="1:12">
      <c r="A55" s="2" t="s">
        <v>210</v>
      </c>
      <c r="B55" s="2" t="s">
        <v>211</v>
      </c>
      <c r="C55" s="4" t="s">
        <v>42</v>
      </c>
      <c r="D55" s="2">
        <v>7</v>
      </c>
      <c r="E55" s="3">
        <v>45316</v>
      </c>
      <c r="F55" s="2" t="s">
        <v>15</v>
      </c>
      <c r="G55" s="2" t="s">
        <v>212</v>
      </c>
      <c r="H55" s="2" t="s">
        <v>213</v>
      </c>
      <c r="I55" s="2" t="s">
        <v>26</v>
      </c>
      <c r="J55" s="2" t="s">
        <v>19</v>
      </c>
      <c r="K55" s="2">
        <v>8</v>
      </c>
      <c r="L55" s="2" t="s">
        <v>49</v>
      </c>
    </row>
    <row r="56" spans="1:12">
      <c r="A56" s="2" t="s">
        <v>214</v>
      </c>
      <c r="B56" s="2" t="s">
        <v>215</v>
      </c>
      <c r="C56" s="4" t="s">
        <v>35</v>
      </c>
      <c r="D56" s="2">
        <v>3</v>
      </c>
      <c r="E56" s="3">
        <v>45316</v>
      </c>
      <c r="F56" s="2" t="s">
        <v>15</v>
      </c>
      <c r="G56" s="2" t="s">
        <v>216</v>
      </c>
      <c r="H56" s="2" t="s">
        <v>196</v>
      </c>
      <c r="I56" s="2" t="s">
        <v>18</v>
      </c>
      <c r="J56" s="2" t="s">
        <v>70</v>
      </c>
      <c r="K56" s="2">
        <v>44</v>
      </c>
      <c r="L56" s="2" t="s">
        <v>49</v>
      </c>
    </row>
    <row r="57" spans="1:12">
      <c r="A57" s="2" t="s">
        <v>217</v>
      </c>
      <c r="B57" s="2" t="s">
        <v>218</v>
      </c>
      <c r="C57" s="4" t="s">
        <v>35</v>
      </c>
      <c r="D57" s="2">
        <v>1</v>
      </c>
      <c r="E57" s="3">
        <v>45317</v>
      </c>
      <c r="F57" s="2" t="s">
        <v>15</v>
      </c>
      <c r="G57" s="2" t="s">
        <v>155</v>
      </c>
      <c r="H57" s="2" t="s">
        <v>156</v>
      </c>
      <c r="I57" s="2" t="s">
        <v>18</v>
      </c>
      <c r="J57" s="2" t="s">
        <v>19</v>
      </c>
      <c r="K57" s="2">
        <v>34</v>
      </c>
      <c r="L57" s="2" t="s">
        <v>49</v>
      </c>
    </row>
    <row r="58" spans="1:12">
      <c r="A58" s="2" t="s">
        <v>219</v>
      </c>
      <c r="B58" s="2" t="s">
        <v>220</v>
      </c>
      <c r="C58" s="4" t="s">
        <v>23</v>
      </c>
      <c r="D58" s="2">
        <v>6</v>
      </c>
      <c r="E58" s="3">
        <v>45317</v>
      </c>
      <c r="F58" s="2" t="s">
        <v>15</v>
      </c>
      <c r="G58" s="2" t="s">
        <v>120</v>
      </c>
      <c r="H58" s="2" t="s">
        <v>121</v>
      </c>
      <c r="I58" s="2" t="s">
        <v>26</v>
      </c>
      <c r="J58" s="2" t="s">
        <v>19</v>
      </c>
      <c r="K58" s="2">
        <v>18</v>
      </c>
      <c r="L58" s="2" t="s">
        <v>27</v>
      </c>
    </row>
    <row r="59" spans="1:12">
      <c r="A59" s="2" t="s">
        <v>221</v>
      </c>
      <c r="B59" s="2" t="s">
        <v>222</v>
      </c>
      <c r="C59" s="4" t="s">
        <v>23</v>
      </c>
      <c r="D59" s="2">
        <v>4</v>
      </c>
      <c r="E59" s="3">
        <v>45318</v>
      </c>
      <c r="F59" s="2" t="s">
        <v>15</v>
      </c>
      <c r="G59" s="2" t="s">
        <v>223</v>
      </c>
      <c r="H59" s="2" t="s">
        <v>200</v>
      </c>
      <c r="I59" s="2" t="s">
        <v>38</v>
      </c>
      <c r="J59" s="2" t="s">
        <v>19</v>
      </c>
      <c r="K59" s="2">
        <v>23</v>
      </c>
      <c r="L59" s="2" t="s">
        <v>27</v>
      </c>
    </row>
    <row r="60" spans="1:12">
      <c r="A60" s="2" t="s">
        <v>224</v>
      </c>
      <c r="B60" s="2" t="s">
        <v>225</v>
      </c>
      <c r="C60" s="4" t="s">
        <v>14</v>
      </c>
      <c r="D60" s="2">
        <v>7</v>
      </c>
      <c r="E60" s="3">
        <v>45318</v>
      </c>
      <c r="F60" s="2" t="s">
        <v>15</v>
      </c>
      <c r="G60" s="2" t="s">
        <v>226</v>
      </c>
      <c r="H60" s="2" t="s">
        <v>196</v>
      </c>
      <c r="I60" s="2" t="s">
        <v>26</v>
      </c>
      <c r="J60" s="2" t="s">
        <v>19</v>
      </c>
      <c r="K60" s="2">
        <v>37</v>
      </c>
      <c r="L60" s="2" t="s">
        <v>27</v>
      </c>
    </row>
    <row r="61" spans="1:12">
      <c r="A61" s="2" t="s">
        <v>227</v>
      </c>
      <c r="B61" s="2" t="s">
        <v>228</v>
      </c>
      <c r="C61" s="4" t="s">
        <v>52</v>
      </c>
      <c r="D61" s="2">
        <v>9</v>
      </c>
      <c r="E61" s="3">
        <v>45319</v>
      </c>
      <c r="F61" s="2" t="s">
        <v>15</v>
      </c>
      <c r="G61" s="2" t="s">
        <v>229</v>
      </c>
      <c r="H61" s="2" t="s">
        <v>77</v>
      </c>
      <c r="I61" s="2" t="s">
        <v>45</v>
      </c>
      <c r="J61" s="2" t="s">
        <v>19</v>
      </c>
      <c r="K61" s="2">
        <v>14</v>
      </c>
      <c r="L61" s="2" t="s">
        <v>49</v>
      </c>
    </row>
    <row r="62" spans="1:12">
      <c r="A62" s="2" t="s">
        <v>230</v>
      </c>
      <c r="B62" s="2" t="s">
        <v>231</v>
      </c>
      <c r="C62" s="4" t="s">
        <v>23</v>
      </c>
      <c r="D62" s="2">
        <v>5</v>
      </c>
      <c r="E62" s="3">
        <v>45319</v>
      </c>
      <c r="F62" s="2" t="s">
        <v>15</v>
      </c>
      <c r="G62" s="2" t="s">
        <v>232</v>
      </c>
      <c r="H62" s="2" t="s">
        <v>184</v>
      </c>
      <c r="I62" s="2" t="s">
        <v>45</v>
      </c>
      <c r="J62" s="2" t="s">
        <v>19</v>
      </c>
      <c r="K62" s="2">
        <v>31</v>
      </c>
      <c r="L62" s="2" t="s">
        <v>32</v>
      </c>
    </row>
    <row r="63" spans="1:12">
      <c r="A63" s="2" t="s">
        <v>233</v>
      </c>
      <c r="B63" s="2" t="s">
        <v>234</v>
      </c>
      <c r="C63" s="4" t="s">
        <v>35</v>
      </c>
      <c r="D63" s="2">
        <v>1</v>
      </c>
      <c r="E63" s="3">
        <v>45320</v>
      </c>
      <c r="F63" s="2" t="s">
        <v>53</v>
      </c>
      <c r="G63" s="2" t="s">
        <v>235</v>
      </c>
      <c r="H63" s="2" t="s">
        <v>196</v>
      </c>
      <c r="I63" s="2" t="s">
        <v>26</v>
      </c>
      <c r="J63" s="2" t="s">
        <v>19</v>
      </c>
      <c r="K63" s="2">
        <v>10</v>
      </c>
      <c r="L63" s="2" t="s">
        <v>32</v>
      </c>
    </row>
    <row r="64" spans="1:12">
      <c r="A64" s="2" t="s">
        <v>236</v>
      </c>
      <c r="B64" s="2" t="s">
        <v>237</v>
      </c>
      <c r="C64" s="4" t="s">
        <v>23</v>
      </c>
      <c r="D64" s="2">
        <v>3</v>
      </c>
      <c r="E64" s="3">
        <v>45320</v>
      </c>
      <c r="F64" s="2" t="s">
        <v>15</v>
      </c>
      <c r="G64" s="2" t="s">
        <v>238</v>
      </c>
      <c r="H64" s="2" t="s">
        <v>31</v>
      </c>
      <c r="I64" s="2" t="s">
        <v>18</v>
      </c>
      <c r="J64" s="2" t="s">
        <v>70</v>
      </c>
      <c r="K64" s="2">
        <v>45</v>
      </c>
      <c r="L64" s="2" t="s">
        <v>49</v>
      </c>
    </row>
    <row r="65" spans="1:12">
      <c r="A65" s="2" t="s">
        <v>239</v>
      </c>
      <c r="B65" s="2" t="s">
        <v>240</v>
      </c>
      <c r="C65" s="4" t="s">
        <v>23</v>
      </c>
      <c r="D65" s="2">
        <v>5</v>
      </c>
      <c r="E65" s="3">
        <v>45320</v>
      </c>
      <c r="F65" s="2" t="s">
        <v>15</v>
      </c>
      <c r="G65" s="2" t="s">
        <v>57</v>
      </c>
      <c r="H65" s="2" t="s">
        <v>58</v>
      </c>
      <c r="I65" s="2" t="s">
        <v>38</v>
      </c>
      <c r="J65" s="2" t="s">
        <v>19</v>
      </c>
      <c r="K65" s="2">
        <v>8</v>
      </c>
      <c r="L65" s="2" t="s">
        <v>32</v>
      </c>
    </row>
    <row r="66" spans="1:12">
      <c r="A66" s="2" t="s">
        <v>241</v>
      </c>
      <c r="B66" s="2" t="s">
        <v>242</v>
      </c>
      <c r="C66" s="4" t="s">
        <v>42</v>
      </c>
      <c r="D66" s="2">
        <v>8</v>
      </c>
      <c r="E66" s="3">
        <v>45320</v>
      </c>
      <c r="F66" s="2" t="s">
        <v>15</v>
      </c>
      <c r="G66" s="2" t="s">
        <v>243</v>
      </c>
      <c r="H66" s="2" t="s">
        <v>69</v>
      </c>
      <c r="I66" s="2" t="s">
        <v>38</v>
      </c>
      <c r="J66" s="2" t="s">
        <v>39</v>
      </c>
      <c r="K66" s="2">
        <v>35</v>
      </c>
      <c r="L66" s="2" t="s">
        <v>27</v>
      </c>
    </row>
    <row r="67" spans="1:12">
      <c r="A67" s="2" t="s">
        <v>244</v>
      </c>
      <c r="B67" s="2" t="s">
        <v>245</v>
      </c>
      <c r="C67" s="4" t="s">
        <v>52</v>
      </c>
      <c r="D67" s="2">
        <v>9</v>
      </c>
      <c r="E67" s="3">
        <v>45320</v>
      </c>
      <c r="F67" s="2" t="s">
        <v>53</v>
      </c>
      <c r="G67" s="2" t="s">
        <v>110</v>
      </c>
      <c r="H67" s="2" t="s">
        <v>31</v>
      </c>
      <c r="I67" s="2" t="s">
        <v>26</v>
      </c>
      <c r="J67" s="2" t="s">
        <v>19</v>
      </c>
      <c r="K67" s="2">
        <v>33</v>
      </c>
      <c r="L67" s="2" t="s">
        <v>27</v>
      </c>
    </row>
    <row r="68" spans="1:12">
      <c r="A68" s="2" t="s">
        <v>246</v>
      </c>
      <c r="B68" s="2" t="s">
        <v>247</v>
      </c>
      <c r="C68" s="4" t="s">
        <v>14</v>
      </c>
      <c r="D68" s="2">
        <v>8</v>
      </c>
      <c r="E68" s="3">
        <v>45321</v>
      </c>
      <c r="F68" s="2" t="s">
        <v>53</v>
      </c>
      <c r="G68" s="2" t="s">
        <v>195</v>
      </c>
      <c r="H68" s="2" t="s">
        <v>196</v>
      </c>
      <c r="I68" s="2" t="s">
        <v>26</v>
      </c>
      <c r="J68" s="2" t="s">
        <v>19</v>
      </c>
      <c r="K68" s="2">
        <v>8</v>
      </c>
      <c r="L68" s="2" t="s">
        <v>49</v>
      </c>
    </row>
    <row r="69" spans="1:12">
      <c r="A69" s="2" t="s">
        <v>248</v>
      </c>
      <c r="B69" s="2" t="s">
        <v>249</v>
      </c>
      <c r="C69" s="4" t="s">
        <v>23</v>
      </c>
      <c r="D69" s="2">
        <v>3</v>
      </c>
      <c r="E69" s="3">
        <v>45321</v>
      </c>
      <c r="F69" s="2" t="s">
        <v>15</v>
      </c>
      <c r="G69" s="2" t="s">
        <v>250</v>
      </c>
      <c r="H69" s="2" t="s">
        <v>251</v>
      </c>
      <c r="I69" s="2" t="s">
        <v>45</v>
      </c>
      <c r="J69" s="2" t="s">
        <v>19</v>
      </c>
      <c r="K69" s="2">
        <v>19</v>
      </c>
      <c r="L69" s="2" t="s">
        <v>49</v>
      </c>
    </row>
    <row r="70" spans="1:12">
      <c r="A70" s="2" t="s">
        <v>252</v>
      </c>
      <c r="B70" s="2" t="s">
        <v>253</v>
      </c>
      <c r="C70" s="4" t="s">
        <v>23</v>
      </c>
      <c r="D70" s="2">
        <v>3</v>
      </c>
      <c r="E70" s="3">
        <v>45322</v>
      </c>
      <c r="F70" s="2" t="s">
        <v>15</v>
      </c>
      <c r="G70" s="2" t="s">
        <v>250</v>
      </c>
      <c r="H70" s="2" t="s">
        <v>254</v>
      </c>
      <c r="I70" s="2" t="s">
        <v>45</v>
      </c>
      <c r="J70" s="2" t="s">
        <v>19</v>
      </c>
      <c r="K70" s="2">
        <v>23</v>
      </c>
      <c r="L70" s="2" t="s">
        <v>27</v>
      </c>
    </row>
    <row r="71" spans="1:12">
      <c r="A71" s="2" t="s">
        <v>255</v>
      </c>
      <c r="B71" s="2" t="s">
        <v>256</v>
      </c>
      <c r="C71" s="4" t="s">
        <v>23</v>
      </c>
      <c r="D71" s="2">
        <v>5</v>
      </c>
      <c r="E71" s="3">
        <v>45322</v>
      </c>
      <c r="F71" s="2" t="s">
        <v>116</v>
      </c>
      <c r="G71" s="2" t="s">
        <v>99</v>
      </c>
      <c r="H71" s="2" t="s">
        <v>100</v>
      </c>
      <c r="I71" s="2" t="s">
        <v>18</v>
      </c>
      <c r="J71" s="2" t="s">
        <v>39</v>
      </c>
      <c r="K71" s="2">
        <v>35</v>
      </c>
      <c r="L71" s="2" t="s">
        <v>27</v>
      </c>
    </row>
  </sheetData>
  <dataValidations count="2">
    <dataValidation type="list" allowBlank="1" showInputMessage="1" showErrorMessage="1" sqref="I3:I71 N2" xr:uid="{E54D267A-157A-44C5-853C-610651B76B79}">
      <formula1>$I$2:$I$71</formula1>
    </dataValidation>
    <dataValidation allowBlank="1" showInputMessage="1" showErrorMessage="1" sqref="I2 N1" xr:uid="{9DB82257-A08E-42C0-A7DC-3B51AC34F45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/>
  <cp:revision/>
  <dcterms:created xsi:type="dcterms:W3CDTF">2024-02-19T11:52:50Z</dcterms:created>
  <dcterms:modified xsi:type="dcterms:W3CDTF">2026-01-12T08:42:12Z</dcterms:modified>
  <cp:category/>
  <cp:contentStatus/>
</cp:coreProperties>
</file>